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x Work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<sst xmlns="http://schemas.openxmlformats.org/spreadsheetml/2006/main" count="109" uniqueCount="92">
  <si>
    <t xml:space="preserve">Income Tax — Auto-Fill Assignment (ANSWER KEY)</t>
  </si>
  <si>
    <t xml:space="preserve">Auto-fill the five output columns (E–I) for every employee using lookup functions only — no typed values, no manual math. Then complete the single-record lookup panel. Slabs follow the New Regime, FY 2024-25 (AY 2025-26).</t>
  </si>
  <si>
    <t xml:space="preserve">Column / Cell</t>
  </si>
  <si>
    <t xml:space="preserve">What to compute</t>
  </si>
  <si>
    <t xml:space="preserve">Function required</t>
  </si>
  <si>
    <t xml:space="preserve">Marks</t>
  </si>
  <si>
    <t xml:space="preserve">E  Taxable Income</t>
  </si>
  <si>
    <t xml:space="preserve">Gross Salary minus Standard Deduction (min 0)</t>
  </si>
  <si>
    <t xml:space="preserve">MAX + absolute ref to constant</t>
  </si>
  <si>
    <t xml:space="preserve">2</t>
  </si>
  <si>
    <t xml:space="preserve">F  Tax Rate</t>
  </si>
  <si>
    <t xml:space="preserve">Rate for the taxable income, from the slab table</t>
  </si>
  <si>
    <t xml:space="preserve">VLOOKUP (approximate / TRUE)</t>
  </si>
  <si>
    <t xml:space="preserve">3</t>
  </si>
  <si>
    <t xml:space="preserve">G  Slab Label</t>
  </si>
  <si>
    <t xml:space="preserve">Slab name for that income</t>
  </si>
  <si>
    <t xml:space="preserve">INDEX + MATCH (match type 1)</t>
  </si>
  <si>
    <t xml:space="preserve">H  Tax Before Cess</t>
  </si>
  <si>
    <t xml:space="preserve">Taxable Income × Tax Rate</t>
  </si>
  <si>
    <t xml:space="preserve">Formula using E and F</t>
  </si>
  <si>
    <t xml:space="preserve">I  HR Email</t>
  </si>
  <si>
    <t xml:space="preserve">Email for the employee's department</t>
  </si>
  <si>
    <t xml:space="preserve">HLOOKUP (horizontal table)</t>
  </si>
  <si>
    <t xml:space="preserve">Lookup panel</t>
  </si>
  <si>
    <t xml:space="preserve">5 single-record lookups by EmpID</t>
  </si>
  <si>
    <t xml:space="preserve">XLOOKUP, VLOOKUP, INDEX-MATCH, nested</t>
  </si>
  <si>
    <t xml:space="preserve">7</t>
  </si>
  <si>
    <t xml:space="preserve">TOTAL</t>
  </si>
  <si>
    <t xml:space="preserve">20</t>
  </si>
  <si>
    <t xml:space="preserve">Colour key:  PEACH = write your formula here   •   BLUE = input/key cells   •   GREEN = lookup-key columns. Use exact match (FALSE/0) for EmpID and Department lookups; use approximate match (TRUE/1) only for the income→slab lookup (the slab table is sorted ascending). Make references to the slab table, constants and HR table ABSOLUTE ($) so the formula copies down correctly.</t>
  </si>
  <si>
    <t xml:space="preserve">Name: ______________________   Roll No: __________   Date: __________</t>
  </si>
  <si>
    <t xml:space="preserve">Income Tax Auto-Fill — Payroll Worksheet (ANSWER KEY)</t>
  </si>
  <si>
    <t xml:space="preserve">Fill columns E–I for all employees using lookups. Reference tables are to the right (columns K onward).</t>
  </si>
  <si>
    <t xml:space="preserve">Tax Slab Table (New Regime FY 2024-25)</t>
  </si>
  <si>
    <t xml:space="preserve">EmpID</t>
  </si>
  <si>
    <t xml:space="preserve">Name</t>
  </si>
  <si>
    <t xml:space="preserve">Department</t>
  </si>
  <si>
    <t xml:space="preserve">Gross Salary (₹)</t>
  </si>
  <si>
    <t xml:space="preserve">Taxable Income (₹)</t>
  </si>
  <si>
    <t xml:space="preserve">Tax Rate</t>
  </si>
  <si>
    <t xml:space="preserve">Slab Label</t>
  </si>
  <si>
    <t xml:space="preserve">Tax Before Cess (₹)</t>
  </si>
  <si>
    <t xml:space="preserve">HR Email</t>
  </si>
  <si>
    <t xml:space="preserve">Income From (₹)</t>
  </si>
  <si>
    <t xml:space="preserve">Rate</t>
  </si>
  <si>
    <t xml:space="preserve">E101</t>
  </si>
  <si>
    <t xml:space="preserve">Aarav Sharma</t>
  </si>
  <si>
    <t xml:space="preserve">Engineering</t>
  </si>
  <si>
    <t xml:space="preserve">Nil</t>
  </si>
  <si>
    <t xml:space="preserve">E102</t>
  </si>
  <si>
    <t xml:space="preserve">Diya Patel</t>
  </si>
  <si>
    <t xml:space="preserve">Sales</t>
  </si>
  <si>
    <t xml:space="preserve">5% slab</t>
  </si>
  <si>
    <t xml:space="preserve">E103</t>
  </si>
  <si>
    <t xml:space="preserve">Vihaan Reddy</t>
  </si>
  <si>
    <t xml:space="preserve">Marketing</t>
  </si>
  <si>
    <t xml:space="preserve">10% slab</t>
  </si>
  <si>
    <t xml:space="preserve">E104</t>
  </si>
  <si>
    <t xml:space="preserve">Ananya Iyer</t>
  </si>
  <si>
    <t xml:space="preserve">Finance</t>
  </si>
  <si>
    <t xml:space="preserve">15% slab</t>
  </si>
  <si>
    <t xml:space="preserve">E105</t>
  </si>
  <si>
    <t xml:space="preserve">Kabir Nair</t>
  </si>
  <si>
    <t xml:space="preserve">20% slab</t>
  </si>
  <si>
    <t xml:space="preserve">E106</t>
  </si>
  <si>
    <t xml:space="preserve">Ishaan Gupta</t>
  </si>
  <si>
    <t xml:space="preserve">30% slab</t>
  </si>
  <si>
    <t xml:space="preserve">E107</t>
  </si>
  <si>
    <t xml:space="preserve">Saanvi Rao</t>
  </si>
  <si>
    <t xml:space="preserve">HR</t>
  </si>
  <si>
    <t xml:space="preserve">E108</t>
  </si>
  <si>
    <t xml:space="preserve">Arjun Mehta</t>
  </si>
  <si>
    <t xml:space="preserve">E109</t>
  </si>
  <si>
    <t xml:space="preserve">Myra Joshi</t>
  </si>
  <si>
    <t xml:space="preserve">Constants</t>
  </si>
  <si>
    <t xml:space="preserve">E110</t>
  </si>
  <si>
    <t xml:space="preserve">Reyansh Das</t>
  </si>
  <si>
    <t xml:space="preserve">Standard Deduction (₹)</t>
  </si>
  <si>
    <t xml:space="preserve">Health &amp; Education Cess</t>
  </si>
  <si>
    <t xml:space="preserve">Single-record lookup — type an EmpID in B21</t>
  </si>
  <si>
    <t xml:space="preserve">EmpID:</t>
  </si>
  <si>
    <t xml:space="preserve">Department HR Contact (horizontal — for HLOOKUP)</t>
  </si>
  <si>
    <t xml:space="preserve">Name (XLOOKUP)</t>
  </si>
  <si>
    <t xml:space="preserve">Department (VLOOKUP)</t>
  </si>
  <si>
    <t xml:space="preserve">hr.eng@co.in</t>
  </si>
  <si>
    <t xml:space="preserve">hr.sales@co.in</t>
  </si>
  <si>
    <t xml:space="preserve">hr.mktg@co.in</t>
  </si>
  <si>
    <t xml:space="preserve">hr.fin@co.in</t>
  </si>
  <si>
    <t xml:space="preserve">hr.hr@co.in</t>
  </si>
  <si>
    <t xml:space="preserve">Gross Salary (INDEX-MATCH)</t>
  </si>
  <si>
    <t xml:space="preserve">Tax Rate (XLOOKUP into slab VLOOKUP)</t>
  </si>
  <si>
    <t xml:space="preserve">HR Email (XLOOKUP dept -&gt; HLOOKUP)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</si>
</sst>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13</v>
      </c>
    </row>
    <row r="8" customFormat="false" ht="15" hidden="false" customHeight="false" outlineLevel="0" collapsed="false">
      <c r="A8" s="4" t="s">
        <v>17</v>
      </c>
      <c r="B8" s="4" t="s">
        <v>18</v>
      </c>
      <c r="C8" s="4" t="s">
        <v>19</v>
      </c>
      <c r="D8" s="4" t="s">
        <v>9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22</v>
      </c>
      <c r="D9" s="4" t="s">
        <v>13</v>
      </c>
    </row>
    <row r="10" customFormat="false" ht="23.85" hidden="false" customHeight="false" outlineLevel="0" collapsed="false">
      <c r="A10" s="4" t="s">
        <v>23</v>
      </c>
      <c r="B10" s="4" t="s">
        <v>24</v>
      </c>
      <c r="C10" s="4" t="s">
        <v>25</v>
      </c>
      <c r="D10" s="4" t="s">
        <v>26</v>
      </c>
    </row>
    <row r="11" customFormat="false" ht="15" hidden="false" customHeight="false" outlineLevel="0" collapsed="false">
      <c r="A11" s="5"/>
      <c r="B11" s="5"/>
      <c r="C11" s="5" t="s">
        <v>27</v>
      </c>
      <c r="D11" s="5" t="s">
        <v>28</v>
      </c>
    </row>
    <row r="14" customFormat="false" ht="69.75" hidden="false" customHeight="true" outlineLevel="0" collapsed="false">
      <c r="A14" s="2" t="s">
        <v>29</v>
      </c>
      <c r="B14" s="2"/>
      <c r="C14" s="2"/>
      <c r="D14" s="2"/>
    </row>
    <row r="16" customFormat="false" ht="15" hidden="false" customHeight="false" outlineLevel="0" collapsed="false">
      <c r="A16" s="6" t="s">
        <v>30</v>
      </c>
      <c r="B16" s="6"/>
      <c r="C16" s="6"/>
      <c r="D16" s="6"/>
    </row>
  </sheetData>
  <mergeCells count="3">
    <mergeCell ref="A2:F2"/>
    <mergeCell ref="A14:D14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6" min="14" style="0" width="12"/>
  </cols>
  <sheetData>
    <row r="1" customFormat="false" ht="17.35" hidden="false" customHeight="false" outlineLevel="0" collapsed="false">
      <c r="A1" s="1" t="s">
        <v>31</v>
      </c>
    </row>
    <row r="2" customFormat="false" ht="27.75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</row>
    <row r="6" customFormat="false" ht="15" hidden="false" customHeight="false" outlineLevel="0" collapsed="false">
      <c r="K6" s="7" t="s">
        <v>33</v>
      </c>
    </row>
    <row r="7" customFormat="false" ht="15" hidden="false" customHeight="false" outlineLevel="0" collapsed="false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K7" s="3" t="s">
        <v>43</v>
      </c>
      <c r="L7" s="3" t="s">
        <v>44</v>
      </c>
      <c r="M7" s="3" t="s">
        <v>40</v>
      </c>
    </row>
    <row r="8" customFormat="false" ht="15" hidden="false" customHeight="false" outlineLevel="0" collapsed="false">
      <c r="A8" s="8" t="s">
        <v>45</v>
      </c>
      <c r="B8" s="9" t="s">
        <v>46</v>
      </c>
      <c r="C8" s="9" t="s">
        <v>47</v>
      </c>
      <c r="D8" s="10" t="n">
        <v>1850000</v>
      </c>
      <c r="E8" s="10" t="n">
        <f aca="false">MAX(D8-$L$17,0)</f>
        <v>1775000</v>
      </c>
      <c r="F8" s="11" t="n">
        <f aca="false">VLOOKUP(E8,$K$8:$M$13,2,TRUE())</f>
        <v>0.3</v>
      </c>
      <c r="G8" s="9" t="str">
        <f aca="false">INDEX($M$8:$M$13,MATCH(E8,$K$8:$K$13,1))</f>
        <v>30% slab</v>
      </c>
      <c r="H8" s="10" t="n">
        <f aca="false">E8*F8</f>
        <v>532500</v>
      </c>
      <c r="I8" s="9" t="str">
        <f aca="false">HLOOKUP(C8,$L$22:$P$23,2,FALSE())</f>
        <v>hr.eng@co.in</v>
      </c>
      <c r="K8" s="12" t="n">
        <v>0</v>
      </c>
      <c r="L8" s="11" t="n">
        <v>0</v>
      </c>
      <c r="M8" s="9" t="s">
        <v>48</v>
      </c>
    </row>
    <row r="9" customFormat="false" ht="15" hidden="false" customHeight="false" outlineLevel="0" collapsed="false">
      <c r="A9" s="8" t="s">
        <v>49</v>
      </c>
      <c r="B9" s="9" t="s">
        <v>50</v>
      </c>
      <c r="C9" s="9" t="s">
        <v>51</v>
      </c>
      <c r="D9" s="10" t="n">
        <v>680000</v>
      </c>
      <c r="E9" s="10" t="n">
        <f aca="false">MAX(D9-$L$17,0)</f>
        <v>605000</v>
      </c>
      <c r="F9" s="11" t="n">
        <f aca="false">VLOOKUP(E9,$K$8:$M$13,2,TRUE())</f>
        <v>0.05</v>
      </c>
      <c r="G9" s="9" t="str">
        <f aca="false">INDEX($M$8:$M$13,MATCH(E9,$K$8:$K$13,1))</f>
        <v>5% slab</v>
      </c>
      <c r="H9" s="10" t="n">
        <f aca="false">E9*F9</f>
        <v>30250</v>
      </c>
      <c r="I9" s="9" t="str">
        <f aca="false">HLOOKUP(C9,$L$22:$P$23,2,FALSE())</f>
        <v>hr.sales@co.in</v>
      </c>
      <c r="K9" s="12" t="n">
        <v>300000</v>
      </c>
      <c r="L9" s="11" t="n">
        <v>0.05</v>
      </c>
      <c r="M9" s="9" t="s">
        <v>52</v>
      </c>
    </row>
    <row r="10" customFormat="false" ht="15" hidden="false" customHeight="false" outlineLevel="0" collapsed="false">
      <c r="A10" s="8" t="s">
        <v>53</v>
      </c>
      <c r="B10" s="9" t="s">
        <v>54</v>
      </c>
      <c r="C10" s="9" t="s">
        <v>55</v>
      </c>
      <c r="D10" s="10" t="n">
        <v>1120000</v>
      </c>
      <c r="E10" s="10" t="n">
        <f aca="false">MAX(D10-$L$17,0)</f>
        <v>1045000</v>
      </c>
      <c r="F10" s="11" t="n">
        <f aca="false">VLOOKUP(E10,$K$8:$M$13,2,TRUE())</f>
        <v>0.15</v>
      </c>
      <c r="G10" s="9" t="str">
        <f aca="false">INDEX($M$8:$M$13,MATCH(E10,$K$8:$K$13,1))</f>
        <v>15% slab</v>
      </c>
      <c r="H10" s="10" t="n">
        <f aca="false">E10*F10</f>
        <v>156750</v>
      </c>
      <c r="I10" s="9" t="str">
        <f aca="false">HLOOKUP(C10,$L$22:$P$23,2,FALSE())</f>
        <v>hr.mktg@co.in</v>
      </c>
      <c r="K10" s="12" t="n">
        <v>700000</v>
      </c>
      <c r="L10" s="11" t="n">
        <v>0.1</v>
      </c>
      <c r="M10" s="9" t="s">
        <v>56</v>
      </c>
    </row>
    <row r="11" customFormat="false" ht="15" hidden="false" customHeight="false" outlineLevel="0" collapsed="false">
      <c r="A11" s="8" t="s">
        <v>57</v>
      </c>
      <c r="B11" s="9" t="s">
        <v>58</v>
      </c>
      <c r="C11" s="9" t="s">
        <v>59</v>
      </c>
      <c r="D11" s="10" t="n">
        <v>1380000</v>
      </c>
      <c r="E11" s="10" t="n">
        <f aca="false">MAX(D11-$L$17,0)</f>
        <v>1305000</v>
      </c>
      <c r="F11" s="11" t="n">
        <f aca="false">VLOOKUP(E11,$K$8:$M$13,2,TRUE())</f>
        <v>0.2</v>
      </c>
      <c r="G11" s="9" t="str">
        <f aca="false">INDEX($M$8:$M$13,MATCH(E11,$K$8:$K$13,1))</f>
        <v>20% slab</v>
      </c>
      <c r="H11" s="10" t="n">
        <f aca="false">E11*F11</f>
        <v>261000</v>
      </c>
      <c r="I11" s="9" t="str">
        <f aca="false">HLOOKUP(C11,$L$22:$P$23,2,FALSE())</f>
        <v>hr.fin@co.in</v>
      </c>
      <c r="K11" s="12" t="n">
        <v>1000000</v>
      </c>
      <c r="L11" s="11" t="n">
        <v>0.15</v>
      </c>
      <c r="M11" s="9" t="s">
        <v>60</v>
      </c>
    </row>
    <row r="12" customFormat="false" ht="15" hidden="false" customHeight="false" outlineLevel="0" collapsed="false">
      <c r="A12" s="8" t="s">
        <v>61</v>
      </c>
      <c r="B12" s="9" t="s">
        <v>62</v>
      </c>
      <c r="C12" s="9" t="s">
        <v>47</v>
      </c>
      <c r="D12" s="10" t="n">
        <v>2450000</v>
      </c>
      <c r="E12" s="10" t="n">
        <f aca="false">MAX(D12-$L$17,0)</f>
        <v>2375000</v>
      </c>
      <c r="F12" s="11" t="n">
        <f aca="false">VLOOKUP(E12,$K$8:$M$13,2,TRUE())</f>
        <v>0.3</v>
      </c>
      <c r="G12" s="9" t="str">
        <f aca="false">INDEX($M$8:$M$13,MATCH(E12,$K$8:$K$13,1))</f>
        <v>30% slab</v>
      </c>
      <c r="H12" s="10" t="n">
        <f aca="false">E12*F12</f>
        <v>712500</v>
      </c>
      <c r="I12" s="9" t="str">
        <f aca="false">HLOOKUP(C12,$L$22:$P$23,2,FALSE())</f>
        <v>hr.eng@co.in</v>
      </c>
      <c r="K12" s="12" t="n">
        <v>1200000</v>
      </c>
      <c r="L12" s="11" t="n">
        <v>0.2</v>
      </c>
      <c r="M12" s="9" t="s">
        <v>63</v>
      </c>
    </row>
    <row r="13" customFormat="false" ht="15" hidden="false" customHeight="false" outlineLevel="0" collapsed="false">
      <c r="A13" s="8" t="s">
        <v>64</v>
      </c>
      <c r="B13" s="9" t="s">
        <v>65</v>
      </c>
      <c r="C13" s="9" t="s">
        <v>51</v>
      </c>
      <c r="D13" s="10" t="n">
        <v>520000</v>
      </c>
      <c r="E13" s="10" t="n">
        <f aca="false">MAX(D13-$L$17,0)</f>
        <v>445000</v>
      </c>
      <c r="F13" s="11" t="n">
        <f aca="false">VLOOKUP(E13,$K$8:$M$13,2,TRUE())</f>
        <v>0.05</v>
      </c>
      <c r="G13" s="9" t="str">
        <f aca="false">INDEX($M$8:$M$13,MATCH(E13,$K$8:$K$13,1))</f>
        <v>5% slab</v>
      </c>
      <c r="H13" s="10" t="n">
        <f aca="false">E13*F13</f>
        <v>22250</v>
      </c>
      <c r="I13" s="9" t="str">
        <f aca="false">HLOOKUP(C13,$L$22:$P$23,2,FALSE())</f>
        <v>hr.sales@co.in</v>
      </c>
      <c r="K13" s="12" t="n">
        <v>1500000</v>
      </c>
      <c r="L13" s="11" t="n">
        <v>0.3</v>
      </c>
      <c r="M13" s="9" t="s">
        <v>66</v>
      </c>
    </row>
    <row r="14" customFormat="false" ht="15" hidden="false" customHeight="false" outlineLevel="0" collapsed="false">
      <c r="A14" s="8" t="s">
        <v>67</v>
      </c>
      <c r="B14" s="9" t="s">
        <v>68</v>
      </c>
      <c r="C14" s="9" t="s">
        <v>69</v>
      </c>
      <c r="D14" s="10" t="n">
        <v>940000</v>
      </c>
      <c r="E14" s="10" t="n">
        <f aca="false">MAX(D14-$L$17,0)</f>
        <v>865000</v>
      </c>
      <c r="F14" s="11" t="n">
        <f aca="false">VLOOKUP(E14,$K$8:$M$13,2,TRUE())</f>
        <v>0.1</v>
      </c>
      <c r="G14" s="9" t="str">
        <f aca="false">INDEX($M$8:$M$13,MATCH(E14,$K$8:$K$13,1))</f>
        <v>10% slab</v>
      </c>
      <c r="H14" s="10" t="n">
        <f aca="false">E14*F14</f>
        <v>86500</v>
      </c>
      <c r="I14" s="9" t="str">
        <f aca="false">HLOOKUP(C14,$L$22:$P$23,2,FALSE())</f>
        <v>hr.hr@co.in</v>
      </c>
    </row>
    <row r="15" customFormat="false" ht="15" hidden="false" customHeight="false" outlineLevel="0" collapsed="false">
      <c r="A15" s="8" t="s">
        <v>70</v>
      </c>
      <c r="B15" s="9" t="s">
        <v>71</v>
      </c>
      <c r="C15" s="9" t="s">
        <v>59</v>
      </c>
      <c r="D15" s="10" t="n">
        <v>760000</v>
      </c>
      <c r="E15" s="10" t="n">
        <f aca="false">MAX(D15-$L$17,0)</f>
        <v>685000</v>
      </c>
      <c r="F15" s="11" t="n">
        <f aca="false">VLOOKUP(E15,$K$8:$M$13,2,TRUE())</f>
        <v>0.05</v>
      </c>
      <c r="G15" s="9" t="str">
        <f aca="false">INDEX($M$8:$M$13,MATCH(E15,$K$8:$K$13,1))</f>
        <v>5% slab</v>
      </c>
      <c r="H15" s="10" t="n">
        <f aca="false">E15*F15</f>
        <v>34250</v>
      </c>
      <c r="I15" s="9" t="str">
        <f aca="false">HLOOKUP(C15,$L$22:$P$23,2,FALSE())</f>
        <v>hr.fin@co.in</v>
      </c>
    </row>
    <row r="16" customFormat="false" ht="15" hidden="false" customHeight="false" outlineLevel="0" collapsed="false">
      <c r="A16" s="8" t="s">
        <v>72</v>
      </c>
      <c r="B16" s="9" t="s">
        <v>73</v>
      </c>
      <c r="C16" s="9" t="s">
        <v>55</v>
      </c>
      <c r="D16" s="10" t="n">
        <v>1610000</v>
      </c>
      <c r="E16" s="10" t="n">
        <f aca="false">MAX(D16-$L$17,0)</f>
        <v>1535000</v>
      </c>
      <c r="F16" s="11" t="n">
        <f aca="false">VLOOKUP(E16,$K$8:$M$13,2,TRUE())</f>
        <v>0.3</v>
      </c>
      <c r="G16" s="9" t="str">
        <f aca="false">INDEX($M$8:$M$13,MATCH(E16,$K$8:$K$13,1))</f>
        <v>30% slab</v>
      </c>
      <c r="H16" s="10" t="n">
        <f aca="false">E16*F16</f>
        <v>460500</v>
      </c>
      <c r="I16" s="9" t="str">
        <f aca="false">HLOOKUP(C16,$L$22:$P$23,2,FALSE())</f>
        <v>hr.mktg@co.in</v>
      </c>
      <c r="K16" s="7" t="s">
        <v>74</v>
      </c>
    </row>
    <row r="17" customFormat="false" ht="15" hidden="false" customHeight="false" outlineLevel="0" collapsed="false">
      <c r="A17" s="8" t="s">
        <v>75</v>
      </c>
      <c r="B17" s="9" t="s">
        <v>76</v>
      </c>
      <c r="C17" s="9" t="s">
        <v>47</v>
      </c>
      <c r="D17" s="10" t="n">
        <v>290000</v>
      </c>
      <c r="E17" s="10" t="n">
        <f aca="false">MAX(D17-$L$17,0)</f>
        <v>215000</v>
      </c>
      <c r="F17" s="11" t="n">
        <f aca="false">VLOOKUP(E17,$K$8:$M$13,2,TRUE())</f>
        <v>0</v>
      </c>
      <c r="G17" s="9" t="str">
        <f aca="false">INDEX($M$8:$M$13,MATCH(E17,$K$8:$K$13,1))</f>
        <v>Nil</v>
      </c>
      <c r="H17" s="10" t="n">
        <f aca="false">E17*F17</f>
        <v>0</v>
      </c>
      <c r="I17" s="9" t="str">
        <f aca="false">HLOOKUP(C17,$L$22:$P$23,2,FALSE())</f>
        <v>hr.eng@co.in</v>
      </c>
      <c r="K17" s="13" t="s">
        <v>77</v>
      </c>
      <c r="L17" s="14" t="n">
        <v>75000</v>
      </c>
    </row>
    <row r="18" customFormat="false" ht="15" hidden="false" customHeight="false" outlineLevel="0" collapsed="false">
      <c r="K18" s="13" t="s">
        <v>78</v>
      </c>
      <c r="L18" s="15" t="n">
        <v>0.04</v>
      </c>
    </row>
    <row r="20" customFormat="false" ht="15" hidden="false" customHeight="false" outlineLevel="0" collapsed="false">
      <c r="A20" s="16" t="s">
        <v>79</v>
      </c>
    </row>
    <row r="21" customFormat="false" ht="15" hidden="false" customHeight="false" outlineLevel="0" collapsed="false">
      <c r="A21" s="17" t="s">
        <v>80</v>
      </c>
      <c r="B21" s="18" t="s">
        <v>61</v>
      </c>
      <c r="K21" s="7" t="s">
        <v>81</v>
      </c>
    </row>
    <row r="22" customFormat="false" ht="15" hidden="false" customHeight="false" outlineLevel="0" collapsed="false">
      <c r="A22" s="19" t="s">
        <v>82</v>
      </c>
      <c r="B22" s="20" t="e">
        <f aca="false">xlookup(B21,A8:A17,B8:B17)</f>
        <v>#NAME?</v>
      </c>
      <c r="K22" s="3" t="s">
        <v>36</v>
      </c>
      <c r="L22" s="21" t="s">
        <v>47</v>
      </c>
      <c r="M22" s="21" t="s">
        <v>51</v>
      </c>
      <c r="N22" s="21" t="s">
        <v>55</v>
      </c>
      <c r="O22" s="21" t="s">
        <v>59</v>
      </c>
      <c r="P22" s="21" t="s">
        <v>69</v>
      </c>
    </row>
    <row r="23" customFormat="false" ht="15" hidden="false" customHeight="false" outlineLevel="0" collapsed="false">
      <c r="A23" s="19" t="s">
        <v>83</v>
      </c>
      <c r="B23" s="20" t="str">
        <f aca="false">VLOOKUP(B21,A8:D17,3,FALSE())</f>
        <v>Engineering</v>
      </c>
      <c r="K23" s="22" t="s">
        <v>42</v>
      </c>
      <c r="L23" s="13" t="s">
        <v>84</v>
      </c>
      <c r="M23" s="13" t="s">
        <v>85</v>
      </c>
      <c r="N23" s="13" t="s">
        <v>86</v>
      </c>
      <c r="O23" s="13" t="s">
        <v>87</v>
      </c>
      <c r="P23" s="13" t="s">
        <v>88</v>
      </c>
    </row>
    <row r="24" customFormat="false" ht="15" hidden="false" customHeight="false" outlineLevel="0" collapsed="false">
      <c r="A24" s="19" t="s">
        <v>89</v>
      </c>
      <c r="B24" s="23" t="n">
        <f aca="false">INDEX(D8:D17,MATCH(B21,A8:A17,0))</f>
        <v>2450000</v>
      </c>
    </row>
    <row r="25" customFormat="false" ht="15" hidden="false" customHeight="false" outlineLevel="0" collapsed="false">
      <c r="A25" s="19" t="s">
        <v>90</v>
      </c>
      <c r="B25" s="20" t="e">
        <f aca="false">VLOOKUP(MAX(xlookup(B21,A8:A17,D8:D17)-$L$17,0),$K$8:$M$13,2,TRUE())</f>
        <v>#NAME?</v>
      </c>
    </row>
    <row r="26" customFormat="false" ht="15" hidden="false" customHeight="false" outlineLevel="0" collapsed="false">
      <c r="A26" s="19" t="s">
        <v>91</v>
      </c>
      <c r="B26" s="20" t="e">
        <f aca="false">HLOOKUP(xlookup(B21,A8:A17,C8:C17),$L$22:$P$23,2,FALSE())</f>
        <v>#NAME?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2026-06-07T15:02:19Z</dcterms:created>
  <dc:creator>openpyxl</dc:creator>
  <dc:description/>
  <dc:language>en-US</dc:language>
  <cp:lastModifiedBy/>
  <dcterms:modified xsi:type="dcterms:W3CDTF">2026-06-07T15:02:19Z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