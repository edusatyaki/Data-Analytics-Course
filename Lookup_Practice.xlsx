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. Employee-Dept" sheetId="2" state="visible" r:id="rId4"/>
    <sheet name="2. Product Price" sheetId="3" state="visible" r:id="rId5"/>
    <sheet name="3. Student Grades" sheetId="4" state="visible" r:id="rId6"/>
    <sheet name="4. Sales Grid" sheetId="5" state="visible" r:id="rId7"/>
    <sheet name="5. Exam Timetable" sheetId="6" state="visible" r:id="rId8"/>
    <sheet name="6. Price Band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<sst xmlns="http://schemas.openxmlformats.org/spreadsheetml/2006/main" count="206" uniqueCount="166">
  <si>
    <t xml:space="preserve">Excel Lookup Functions — Practice Workbook</t>
  </si>
  <si>
    <t xml:space="preserve">Six datasets covering VLOOKUP, HLOOKUP, XLOOKUP, INDEX &amp; MATCH. Yellow cells hold worked-out answer formulas — click them to study the syntax, then try your own.</t>
  </si>
  <si>
    <t xml:space="preserve">Sheet</t>
  </si>
  <si>
    <t xml:space="preserve">Function focus</t>
  </si>
  <si>
    <t xml:space="preserve">What you practice</t>
  </si>
  <si>
    <t xml:space="preserve">1. Employee-Dept</t>
  </si>
  <si>
    <t xml:space="preserve">VLOOKUP / XLOOKUP / INDEX-MATCH</t>
  </si>
  <si>
    <t xml:space="preserve">Pull department details using a key ID</t>
  </si>
  <si>
    <t xml:space="preserve">2. Product Price</t>
  </si>
  <si>
    <t xml:space="preserve">VLOOKUP / XLOOKUP</t>
  </si>
  <si>
    <t xml:space="preserve">Exact-match price &amp; category lookup</t>
  </si>
  <si>
    <t xml:space="preserve">3. Student Grades</t>
  </si>
  <si>
    <t xml:space="preserve">INDEX-MATCH (two-way)</t>
  </si>
  <si>
    <t xml:space="preserve">Find a score by student AND subject</t>
  </si>
  <si>
    <t xml:space="preserve">4. Sales Grid</t>
  </si>
  <si>
    <t xml:space="preserve">HLOOKUP / INDEX-MATCH</t>
  </si>
  <si>
    <t xml:space="preserve">Two-way lookup across months &amp; regions</t>
  </si>
  <si>
    <t xml:space="preserve">5. Exam Timetable</t>
  </si>
  <si>
    <t xml:space="preserve">HLOOKUP</t>
  </si>
  <si>
    <t xml:space="preserve">Retrieve subject by day &amp; period</t>
  </si>
  <si>
    <t xml:space="preserve">6. Price Bands</t>
  </si>
  <si>
    <t xml:space="preserve">VLOOKUP (approximate match)</t>
  </si>
  <si>
    <t xml:space="preserve">Range/tier lookup with TRUE flag</t>
  </si>
  <si>
    <t xml:space="preserve">Tip: XLOOKUP isn't available in older Excel (pre-2021/365). If you see #NAME?, use the VLOOKUP or INDEX-MATCH equivalent shown alongside it.</t>
  </si>
  <si>
    <t xml:space="preserve">Employee–Department Lookup</t>
  </si>
  <si>
    <t xml:space="preserve">VLOOKUP, XLOOKUP, INDEX-MATCH — find a department's name &amp; manager from its ID.</t>
  </si>
  <si>
    <t xml:space="preserve">Employees</t>
  </si>
  <si>
    <t xml:space="preserve">Departments</t>
  </si>
  <si>
    <t xml:space="preserve">EmpID</t>
  </si>
  <si>
    <t xml:space="preserve">Name</t>
  </si>
  <si>
    <t xml:space="preserve">DeptID</t>
  </si>
  <si>
    <t xml:space="preserve">Salary</t>
  </si>
  <si>
    <t xml:space="preserve">DeptName</t>
  </si>
  <si>
    <t xml:space="preserve">Manager</t>
  </si>
  <si>
    <t xml:space="preserve">Floor</t>
  </si>
  <si>
    <t xml:space="preserve">Aarav Sharma</t>
  </si>
  <si>
    <t xml:space="preserve">D3</t>
  </si>
  <si>
    <t xml:space="preserve">D1</t>
  </si>
  <si>
    <t xml:space="preserve">Sales</t>
  </si>
  <si>
    <t xml:space="preserve">R. Banerjee</t>
  </si>
  <si>
    <t xml:space="preserve">Diya Patel</t>
  </si>
  <si>
    <t xml:space="preserve">D2</t>
  </si>
  <si>
    <t xml:space="preserve">Engineering</t>
  </si>
  <si>
    <t xml:space="preserve">S. Krishnan</t>
  </si>
  <si>
    <t xml:space="preserve">Vihaan Reddy</t>
  </si>
  <si>
    <t xml:space="preserve">Marketing</t>
  </si>
  <si>
    <t xml:space="preserve">P. Desai</t>
  </si>
  <si>
    <t xml:space="preserve">Ananya Iyer</t>
  </si>
  <si>
    <t xml:space="preserve">D4</t>
  </si>
  <si>
    <t xml:space="preserve">Finance</t>
  </si>
  <si>
    <t xml:space="preserve">M. Joshi</t>
  </si>
  <si>
    <t xml:space="preserve">Kabir Nair</t>
  </si>
  <si>
    <t xml:space="preserve">Ishaan Gupta</t>
  </si>
  <si>
    <t xml:space="preserve">Saanvi Rao</t>
  </si>
  <si>
    <t xml:space="preserve">Arjun Mehta</t>
  </si>
  <si>
    <t xml:space="preserve">Lookup zone — change the EmpID in B17 and watch the answers update</t>
  </si>
  <si>
    <t xml:space="preserve">EmpID to find:</t>
  </si>
  <si>
    <t xml:space="preserve">Name (VLOOKUP):</t>
  </si>
  <si>
    <t xml:space="preserve">DeptID (VLOOKUP):</t>
  </si>
  <si>
    <t xml:space="preserve">DeptName (VLOOKUP nested):</t>
  </si>
  <si>
    <t xml:space="preserve">Manager (INDEX-MATCH):</t>
  </si>
  <si>
    <t xml:space="preserve">Name (XLOOKUP):</t>
  </si>
  <si>
    <t xml:space="preserve">Salary (XLOOKUP):</t>
  </si>
  <si>
    <t xml:space="preserve">Product Price List Lookup</t>
  </si>
  <si>
    <t xml:space="preserve">VLOOKUP &amp; XLOOKUP — exact-match retrieval of price, category and stock by ProductID.</t>
  </si>
  <si>
    <t xml:space="preserve">ProductID</t>
  </si>
  <si>
    <t xml:space="preserve">ProductName</t>
  </si>
  <si>
    <t xml:space="preserve">Category</t>
  </si>
  <si>
    <t xml:space="preserve">Price</t>
  </si>
  <si>
    <t xml:space="preserve">InStock</t>
  </si>
  <si>
    <t xml:space="preserve">P001</t>
  </si>
  <si>
    <t xml:space="preserve">Wireless Mouse</t>
  </si>
  <si>
    <t xml:space="preserve">Accessories</t>
  </si>
  <si>
    <t xml:space="preserve">P002</t>
  </si>
  <si>
    <t xml:space="preserve">Mechanical Keyboard</t>
  </si>
  <si>
    <t xml:space="preserve">P003</t>
  </si>
  <si>
    <t xml:space="preserve">USB-C Hub</t>
  </si>
  <si>
    <t xml:space="preserve">P004</t>
  </si>
  <si>
    <t xml:space="preserve">27in Monitor</t>
  </si>
  <si>
    <t xml:space="preserve">Displays</t>
  </si>
  <si>
    <t xml:space="preserve">P005</t>
  </si>
  <si>
    <t xml:space="preserve">Laptop Stand</t>
  </si>
  <si>
    <t xml:space="preserve">Furniture</t>
  </si>
  <si>
    <t xml:space="preserve">P006</t>
  </si>
  <si>
    <t xml:space="preserve">Webcam 1080p</t>
  </si>
  <si>
    <t xml:space="preserve">Peripherals</t>
  </si>
  <si>
    <t xml:space="preserve">P007</t>
  </si>
  <si>
    <t xml:space="preserve">Noise-Cancel Headset</t>
  </si>
  <si>
    <t xml:space="preserve">Audio</t>
  </si>
  <si>
    <t xml:space="preserve">P008</t>
  </si>
  <si>
    <t xml:space="preserve">External SSD 1TB</t>
  </si>
  <si>
    <t xml:space="preserve">Storage</t>
  </si>
  <si>
    <t xml:space="preserve">Lookup zone</t>
  </si>
  <si>
    <t xml:space="preserve">ProductID:</t>
  </si>
  <si>
    <t xml:space="preserve">Price (VLOOKUP):</t>
  </si>
  <si>
    <t xml:space="preserve">Category (XLOOKUP):</t>
  </si>
  <si>
    <t xml:space="preserve">Stock (XLOOKUP w/ not-found):</t>
  </si>
  <si>
    <t xml:space="preserve">Student Grades — Two-Way Lookup</t>
  </si>
  <si>
    <t xml:space="preserve">INDEX-MATCH-MATCH — find a score at the intersection of a student (row) and subject (column).</t>
  </si>
  <si>
    <t xml:space="preserve">Student</t>
  </si>
  <si>
    <t xml:space="preserve">Math</t>
  </si>
  <si>
    <t xml:space="preserve">Physics</t>
  </si>
  <si>
    <t xml:space="preserve">Chemistry</t>
  </si>
  <si>
    <t xml:space="preserve">English</t>
  </si>
  <si>
    <t xml:space="preserve">CS</t>
  </si>
  <si>
    <t xml:space="preserve">Aarav</t>
  </si>
  <si>
    <t xml:space="preserve">Diya</t>
  </si>
  <si>
    <t xml:space="preserve">Vihaan</t>
  </si>
  <si>
    <t xml:space="preserve">Ananya</t>
  </si>
  <si>
    <t xml:space="preserve">Kabir</t>
  </si>
  <si>
    <t xml:space="preserve">Saanvi</t>
  </si>
  <si>
    <t xml:space="preserve">Lookup zone — pick a student &amp; subject</t>
  </si>
  <si>
    <t xml:space="preserve">Student:</t>
  </si>
  <si>
    <t xml:space="preserve">Subject:</t>
  </si>
  <si>
    <t xml:space="preserve">Score (INDEX-MATCH-MATCH):</t>
  </si>
  <si>
    <t xml:space="preserve">Class average for subject:</t>
  </si>
  <si>
    <t xml:space="preserve">Sales by Region &amp; Month</t>
  </si>
  <si>
    <t xml:space="preserve">HLOOKUP &amp; INDEX-MATCH — months across the top, regions down the side. Classic two-way grid.</t>
  </si>
  <si>
    <t xml:space="preserve">Region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</si>
  <si>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</si>
  <si>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</si>
  <si>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</si>
  <si>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</si>
  <si>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</si>
  <si>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</si>
  <si>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North</t>
  </si>
  <si>
    <t xml:space="preserve">South</t>
  </si>
  <si>
    <t xml:space="preserve">East</t>
  </si>
  <si>
    <t xml:space="preserve">West</t>
  </si>
  <si>
    <t xml:space="preserve">Central</t>
  </si>
  <si>
    <t xml:space="preserve">Month:</t>
  </si>
  <si>
    <t xml:space="preserve">Region:</t>
  </si>
  <si>
    <t xml:space="preserve">North's value for month (HLOOKUP):</t>
  </si>
  <si>
    <t xml:space="preserve">Any region+month (INDEX-MATCH-MATCH):</t>
  </si>
  <si>
    <t xml:space="preserve">Total for month (HLOOKUP+SUM):</t>
  </si>
  <si>
    <t xml:space="preserve">Exam Timetable Lookup</t>
  </si>
  <si>
    <t xml:space="preserve">HLOOKUP — days as column headers, periods as rows. Retrieve the subject scheduled for a day.</t>
  </si>
  <si>
    <t xml:space="preserve">Period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</si>
  <si>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</si>
  <si>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</si>
  <si>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</si>
  <si>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</si>
  <si>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</si>
  <si>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P1</t>
  </si>
  <si>
    <t xml:space="preserve">P2</t>
  </si>
  <si>
    <t xml:space="preserve">P3</t>
  </si>
  <si>
    <t xml:space="preserve">P4</t>
  </si>
  <si>
    <t xml:space="preserve">Day:</t>
  </si>
  <si>
    <t xml:space="preserve">Period row #:</t>
  </si>
  <si>
    <t xml:space="preserve">Subject (HLOOKUP):</t>
  </si>
  <si>
    <t xml:space="preserve">Subject by day+period label (INDEX-MATCH):</t>
  </si>
  <si>
    <t xml:space="preserve">Discount Tiers — Approximate Match</t>
  </si>
  <si>
    <t xml:space="preserve">VLOOKUP with TRUE (range lookup). The lookup column MUST be sorted ascending for this to work.</t>
  </si>
  <si>
    <t xml:space="preserve">Min Spend</t>
  </si>
  <si>
    <t xml:space="preserve">Discount %</t>
  </si>
  <si>
    <t xml:space="preserve">Tier</t>
  </si>
  <si>
    <t xml:space="preserve">None</t>
  </si>
  <si>
    <t xml:space="preserve">Bronze</t>
  </si>
  <si>
    <t xml:space="preserve">Silver</t>
  </si>
  <si>
    <t xml:space="preserve">Gold</t>
  </si>
  <si>
    <t xml:space="preserve">Platinum</t>
  </si>
  <si>
    <t xml:space="preserve">Lookup zone — change the spend amount</t>
  </si>
  <si>
    <t xml:space="preserve">Customer spend:</t>
  </si>
  <si>
    <t xml:space="preserve">Discount % (VLOOKUP TRUE):</t>
  </si>
  <si>
    <t xml:space="preserve">Tier (VLOOKUP TRUE):</t>
  </si>
  <si>
    <t xml:space="preserve">Discount amount: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</si>
</sst>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15" hidden="false" customHeight="false" outlineLevel="0" collapsed="false">
      <c r="A9" s="4" t="s">
        <v>17</v>
      </c>
      <c r="B9" s="4" t="s">
        <v>18</v>
      </c>
      <c r="C9" s="4" t="s">
        <v>19</v>
      </c>
    </row>
    <row r="10" customFormat="false" ht="15" hidden="false" customHeight="false" outlineLevel="0" collapsed="false">
      <c r="A10" s="4" t="s">
        <v>20</v>
      </c>
      <c r="B10" s="4" t="s">
        <v>21</v>
      </c>
      <c r="C10" s="4" t="s">
        <v>22</v>
      </c>
    </row>
    <row r="12" customFormat="false" ht="15" hidden="false" customHeight="false" outlineLevel="0" collapsed="false">
      <c r="A12" s="2" t="s">
        <v>23</v>
      </c>
      <c r="B12" s="2"/>
      <c r="C12" s="2"/>
    </row>
  </sheetData>
  <mergeCells count="2">
    <mergeCell ref="A2:F2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4"/>
    <col collapsed="false" customWidth="true" hidden="false" outlineLevel="0" max="9" min="9" style="0" width="6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5" t="s">
        <v>25</v>
      </c>
    </row>
    <row r="4" customFormat="false" ht="15" hidden="false" customHeight="false" outlineLevel="0" collapsed="false">
      <c r="A4" s="6" t="s">
        <v>26</v>
      </c>
      <c r="F4" s="6" t="s">
        <v>27</v>
      </c>
    </row>
    <row r="5" customFormat="false" ht="15" hidden="false" customHeight="false" outlineLevel="0" collapsed="false">
      <c r="A5" s="3" t="s">
        <v>28</v>
      </c>
      <c r="B5" s="3" t="s">
        <v>29</v>
      </c>
      <c r="C5" s="3" t="s">
        <v>30</v>
      </c>
      <c r="D5" s="3" t="s">
        <v>31</v>
      </c>
      <c r="F5" s="3" t="s">
        <v>30</v>
      </c>
      <c r="G5" s="3" t="s">
        <v>32</v>
      </c>
      <c r="H5" s="3" t="s">
        <v>33</v>
      </c>
      <c r="I5" s="3" t="s">
        <v>34</v>
      </c>
    </row>
    <row r="6" customFormat="false" ht="15" hidden="false" customHeight="false" outlineLevel="0" collapsed="false">
      <c r="A6" s="7" t="n">
        <v>101</v>
      </c>
      <c r="B6" s="7" t="s">
        <v>35</v>
      </c>
      <c r="C6" s="7" t="s">
        <v>36</v>
      </c>
      <c r="D6" s="7" t="n">
        <v>62000</v>
      </c>
      <c r="F6" s="8" t="s">
        <v>37</v>
      </c>
      <c r="G6" s="7" t="s">
        <v>38</v>
      </c>
      <c r="H6" s="7" t="s">
        <v>39</v>
      </c>
      <c r="I6" s="7" t="n">
        <v>2</v>
      </c>
    </row>
    <row r="7" customFormat="false" ht="15" hidden="false" customHeight="false" outlineLevel="0" collapsed="false">
      <c r="A7" s="7" t="n">
        <v>102</v>
      </c>
      <c r="B7" s="7" t="s">
        <v>40</v>
      </c>
      <c r="C7" s="7" t="s">
        <v>37</v>
      </c>
      <c r="D7" s="7" t="n">
        <v>54000</v>
      </c>
      <c r="F7" s="8" t="s">
        <v>41</v>
      </c>
      <c r="G7" s="7" t="s">
        <v>42</v>
      </c>
      <c r="H7" s="7" t="s">
        <v>43</v>
      </c>
      <c r="I7" s="7" t="n">
        <v>4</v>
      </c>
    </row>
    <row r="8" customFormat="false" ht="15" hidden="false" customHeight="false" outlineLevel="0" collapsed="false">
      <c r="A8" s="7" t="n">
        <v>103</v>
      </c>
      <c r="B8" s="7" t="s">
        <v>44</v>
      </c>
      <c r="C8" s="7" t="s">
        <v>41</v>
      </c>
      <c r="D8" s="7" t="n">
        <v>71000</v>
      </c>
      <c r="F8" s="8" t="s">
        <v>36</v>
      </c>
      <c r="G8" s="7" t="s">
        <v>45</v>
      </c>
      <c r="H8" s="7" t="s">
        <v>46</v>
      </c>
      <c r="I8" s="7" t="n">
        <v>3</v>
      </c>
    </row>
    <row r="9" customFormat="false" ht="15" hidden="false" customHeight="false" outlineLevel="0" collapsed="false">
      <c r="A9" s="7" t="n">
        <v>104</v>
      </c>
      <c r="B9" s="7" t="s">
        <v>47</v>
      </c>
      <c r="C9" s="7" t="s">
        <v>36</v>
      </c>
      <c r="D9" s="7" t="n">
        <v>58000</v>
      </c>
      <c r="F9" s="8" t="s">
        <v>48</v>
      </c>
      <c r="G9" s="7" t="s">
        <v>49</v>
      </c>
      <c r="H9" s="7" t="s">
        <v>50</v>
      </c>
      <c r="I9" s="7" t="n">
        <v>5</v>
      </c>
    </row>
    <row r="10" customFormat="false" ht="15" hidden="false" customHeight="false" outlineLevel="0" collapsed="false">
      <c r="A10" s="7" t="n">
        <v>105</v>
      </c>
      <c r="B10" s="7" t="s">
        <v>51</v>
      </c>
      <c r="C10" s="7" t="s">
        <v>48</v>
      </c>
      <c r="D10" s="7" t="n">
        <v>83000</v>
      </c>
    </row>
    <row r="11" customFormat="false" ht="15" hidden="false" customHeight="false" outlineLevel="0" collapsed="false">
      <c r="A11" s="7" t="n">
        <v>106</v>
      </c>
      <c r="B11" s="7" t="s">
        <v>52</v>
      </c>
      <c r="C11" s="7" t="s">
        <v>37</v>
      </c>
      <c r="D11" s="7" t="n">
        <v>49000</v>
      </c>
    </row>
    <row r="12" customFormat="false" ht="15" hidden="false" customHeight="false" outlineLevel="0" collapsed="false">
      <c r="A12" s="7" t="n">
        <v>107</v>
      </c>
      <c r="B12" s="7" t="s">
        <v>53</v>
      </c>
      <c r="C12" s="7" t="s">
        <v>41</v>
      </c>
      <c r="D12" s="7" t="n">
        <v>67000</v>
      </c>
    </row>
    <row r="13" customFormat="false" ht="15" hidden="false" customHeight="false" outlineLevel="0" collapsed="false">
      <c r="A13" s="7" t="n">
        <v>108</v>
      </c>
      <c r="B13" s="7" t="s">
        <v>54</v>
      </c>
      <c r="C13" s="7" t="s">
        <v>48</v>
      </c>
      <c r="D13" s="7" t="n">
        <v>90000</v>
      </c>
    </row>
    <row r="16" customFormat="false" ht="15" hidden="false" customHeight="false" outlineLevel="0" collapsed="false">
      <c r="A16" s="9" t="s">
        <v>55</v>
      </c>
    </row>
    <row r="17" customFormat="false" ht="15" hidden="false" customHeight="false" outlineLevel="0" collapsed="false">
      <c r="A17" s="10" t="s">
        <v>56</v>
      </c>
      <c r="B17" s="11" t="n">
        <v>104</v>
      </c>
    </row>
    <row r="18" customFormat="false" ht="15" hidden="false" customHeight="false" outlineLevel="0" collapsed="false">
      <c r="A18" s="10" t="s">
        <v>57</v>
      </c>
      <c r="B18" s="12" t="str">
        <f aca="false">VLOOKUP(B17,A6:D13,2,FALSE())</f>
        <v>Ananya Iyer</v>
      </c>
    </row>
    <row r="19" customFormat="false" ht="15" hidden="false" customHeight="false" outlineLevel="0" collapsed="false">
      <c r="A19" s="10" t="s">
        <v>58</v>
      </c>
      <c r="B19" s="12" t="str">
        <f aca="false">VLOOKUP(B17,A6:D13,3,FALSE())</f>
        <v>D3</v>
      </c>
    </row>
    <row r="20" customFormat="false" ht="15" hidden="false" customHeight="false" outlineLevel="0" collapsed="false">
      <c r="A20" s="10" t="s">
        <v>59</v>
      </c>
      <c r="B20" s="12" t="str">
        <f aca="false">VLOOKUP(VLOOKUP(B17,A6:D13,3,FALSE()),F6:I9,2,FALSE())</f>
        <v>Marketing</v>
      </c>
    </row>
    <row r="21" customFormat="false" ht="15" hidden="false" customHeight="false" outlineLevel="0" collapsed="false">
      <c r="A21" s="10" t="s">
        <v>60</v>
      </c>
      <c r="B21" s="12" t="str">
        <f aca="false">INDEX($H$6:$H$9,MATCH(VLOOKUP(B17,A6:D13,3,FALSE()),$F$6:$F$9,0))</f>
        <v>P. Desai</v>
      </c>
    </row>
    <row r="22" customFormat="false" ht="15" hidden="false" customHeight="false" outlineLevel="0" collapsed="false">
      <c r="A22" s="10" t="s">
        <v>61</v>
      </c>
      <c r="B22" s="12" t="e">
        <f aca="false">xlookup(B17,A6:A13,B6:B13)</f>
        <v>#NAME?</v>
      </c>
    </row>
    <row r="23" customFormat="false" ht="15" hidden="false" customHeight="false" outlineLevel="0" collapsed="false">
      <c r="A23" s="10" t="s">
        <v>62</v>
      </c>
      <c r="B23" s="12" t="e">
        <f aca="false">xlookup(B17,A6:A13,D6:D13)</f>
        <v>#NAME?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0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5" t="s">
        <v>64</v>
      </c>
    </row>
    <row r="4" customFormat="false" ht="15" hidden="false" customHeight="false" outlineLevel="0" collapsed="false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</row>
    <row r="5" customFormat="false" ht="15" hidden="false" customHeight="false" outlineLevel="0" collapsed="false">
      <c r="A5" s="8" t="s">
        <v>70</v>
      </c>
      <c r="B5" s="7" t="s">
        <v>71</v>
      </c>
      <c r="C5" s="7" t="s">
        <v>72</v>
      </c>
      <c r="D5" s="13" t="n">
        <v>799</v>
      </c>
      <c r="E5" s="7" t="n">
        <v>120</v>
      </c>
    </row>
    <row r="6" customFormat="false" ht="15" hidden="false" customHeight="false" outlineLevel="0" collapsed="false">
      <c r="A6" s="8" t="s">
        <v>73</v>
      </c>
      <c r="B6" s="7" t="s">
        <v>74</v>
      </c>
      <c r="C6" s="7" t="s">
        <v>72</v>
      </c>
      <c r="D6" s="13" t="n">
        <v>2499</v>
      </c>
      <c r="E6" s="7" t="n">
        <v>45</v>
      </c>
    </row>
    <row r="7" customFormat="false" ht="15" hidden="false" customHeight="false" outlineLevel="0" collapsed="false">
      <c r="A7" s="8" t="s">
        <v>75</v>
      </c>
      <c r="B7" s="7" t="s">
        <v>76</v>
      </c>
      <c r="C7" s="7" t="s">
        <v>72</v>
      </c>
      <c r="D7" s="13" t="n">
        <v>1299</v>
      </c>
      <c r="E7" s="7" t="n">
        <v>80</v>
      </c>
    </row>
    <row r="8" customFormat="false" ht="15" hidden="false" customHeight="false" outlineLevel="0" collapsed="false">
      <c r="A8" s="8" t="s">
        <v>77</v>
      </c>
      <c r="B8" s="7" t="s">
        <v>78</v>
      </c>
      <c r="C8" s="7" t="s">
        <v>79</v>
      </c>
      <c r="D8" s="13" t="n">
        <v>18999</v>
      </c>
      <c r="E8" s="7" t="n">
        <v>15</v>
      </c>
    </row>
    <row r="9" customFormat="false" ht="15" hidden="false" customHeight="false" outlineLevel="0" collapsed="false">
      <c r="A9" s="8" t="s">
        <v>80</v>
      </c>
      <c r="B9" s="7" t="s">
        <v>81</v>
      </c>
      <c r="C9" s="7" t="s">
        <v>82</v>
      </c>
      <c r="D9" s="13" t="n">
        <v>1499</v>
      </c>
      <c r="E9" s="7" t="n">
        <v>60</v>
      </c>
    </row>
    <row r="10" customFormat="false" ht="15" hidden="false" customHeight="false" outlineLevel="0" collapsed="false">
      <c r="A10" s="8" t="s">
        <v>83</v>
      </c>
      <c r="B10" s="7" t="s">
        <v>84</v>
      </c>
      <c r="C10" s="7" t="s">
        <v>85</v>
      </c>
      <c r="D10" s="13" t="n">
        <v>2199</v>
      </c>
      <c r="E10" s="7" t="n">
        <v>33</v>
      </c>
    </row>
    <row r="11" customFormat="false" ht="15" hidden="false" customHeight="false" outlineLevel="0" collapsed="false">
      <c r="A11" s="8" t="s">
        <v>86</v>
      </c>
      <c r="B11" s="7" t="s">
        <v>87</v>
      </c>
      <c r="C11" s="7" t="s">
        <v>88</v>
      </c>
      <c r="D11" s="13" t="n">
        <v>5999</v>
      </c>
      <c r="E11" s="7" t="n">
        <v>22</v>
      </c>
    </row>
    <row r="12" customFormat="false" ht="15" hidden="false" customHeight="false" outlineLevel="0" collapsed="false">
      <c r="A12" s="8" t="s">
        <v>89</v>
      </c>
      <c r="B12" s="7" t="s">
        <v>90</v>
      </c>
      <c r="C12" s="7" t="s">
        <v>91</v>
      </c>
      <c r="D12" s="13" t="n">
        <v>6499</v>
      </c>
      <c r="E12" s="7" t="n">
        <v>40</v>
      </c>
    </row>
    <row r="15" customFormat="false" ht="15" hidden="false" customHeight="false" outlineLevel="0" collapsed="false">
      <c r="A15" s="9" t="s">
        <v>92</v>
      </c>
    </row>
    <row r="16" customFormat="false" ht="15" hidden="false" customHeight="false" outlineLevel="0" collapsed="false">
      <c r="A16" s="0" t="s">
        <v>93</v>
      </c>
      <c r="B16" s="11" t="s">
        <v>77</v>
      </c>
    </row>
    <row r="17" customFormat="false" ht="15" hidden="false" customHeight="false" outlineLevel="0" collapsed="false">
      <c r="A17" s="10" t="s">
        <v>57</v>
      </c>
      <c r="B17" s="12" t="str">
        <f aca="false">VLOOKUP(B16,A5:E12,2,FALSE())</f>
        <v>27in Monitor</v>
      </c>
    </row>
    <row r="18" customFormat="false" ht="15" hidden="false" customHeight="false" outlineLevel="0" collapsed="false">
      <c r="A18" s="10" t="s">
        <v>94</v>
      </c>
      <c r="B18" s="12" t="n">
        <f aca="false">VLOOKUP(B16,A5:E12,4,FALSE())</f>
        <v>18999</v>
      </c>
    </row>
    <row r="19" customFormat="false" ht="15" hidden="false" customHeight="false" outlineLevel="0" collapsed="false">
      <c r="A19" s="10" t="s">
        <v>95</v>
      </c>
      <c r="B19" s="12" t="e">
        <f aca="false">xlookup(B16,A5:A12,C5:C12)</f>
        <v>#NAME?</v>
      </c>
    </row>
    <row r="20" customFormat="false" ht="15" hidden="false" customHeight="false" outlineLevel="0" collapsed="false">
      <c r="A20" s="10" t="s">
        <v>96</v>
      </c>
      <c r="B20" s="12" t="e">
        <f aca="false">xlookup(B16,A5:A12,E5:E12,"Not found")</f>
        <v>#NAME?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5" t="s">
        <v>98</v>
      </c>
    </row>
    <row r="4" customFormat="false" ht="15" hidden="false" customHeight="false" outlineLevel="0" collapsed="false">
      <c r="A4" s="3" t="s">
        <v>99</v>
      </c>
      <c r="B4" s="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</row>
    <row r="5" customFormat="false" ht="15" hidden="false" customHeight="false" outlineLevel="0" collapsed="false">
      <c r="A5" s="8" t="s">
        <v>105</v>
      </c>
      <c r="B5" s="7" t="n">
        <v>75</v>
      </c>
      <c r="C5" s="7" t="n">
        <v>64</v>
      </c>
      <c r="D5" s="7" t="n">
        <v>80</v>
      </c>
      <c r="E5" s="7" t="n">
        <v>96</v>
      </c>
      <c r="F5" s="7" t="n">
        <v>58</v>
      </c>
    </row>
    <row r="6" customFormat="false" ht="15" hidden="false" customHeight="false" outlineLevel="0" collapsed="false">
      <c r="A6" s="8" t="s">
        <v>106</v>
      </c>
      <c r="B6" s="7" t="n">
        <v>59</v>
      </c>
      <c r="C6" s="7" t="n">
        <v>89</v>
      </c>
      <c r="D6" s="7" t="n">
        <v>61</v>
      </c>
      <c r="E6" s="7" t="n">
        <v>78</v>
      </c>
      <c r="F6" s="7" t="n">
        <v>92</v>
      </c>
    </row>
    <row r="7" customFormat="false" ht="15" hidden="false" customHeight="false" outlineLevel="0" collapsed="false">
      <c r="A7" s="8" t="s">
        <v>107</v>
      </c>
      <c r="B7" s="7" t="n">
        <v>58</v>
      </c>
      <c r="C7" s="7" t="n">
        <v>87</v>
      </c>
      <c r="D7" s="7" t="n">
        <v>68</v>
      </c>
      <c r="E7" s="7" t="n">
        <v>57</v>
      </c>
      <c r="F7" s="7" t="n">
        <v>60</v>
      </c>
    </row>
    <row r="8" customFormat="false" ht="15" hidden="false" customHeight="false" outlineLevel="0" collapsed="false">
      <c r="A8" s="8" t="s">
        <v>108</v>
      </c>
      <c r="B8" s="7" t="n">
        <v>82</v>
      </c>
      <c r="C8" s="7" t="n">
        <v>81</v>
      </c>
      <c r="D8" s="7" t="n">
        <v>59</v>
      </c>
      <c r="E8" s="7" t="n">
        <v>70</v>
      </c>
      <c r="F8" s="7" t="n">
        <v>60</v>
      </c>
    </row>
    <row r="9" customFormat="false" ht="15" hidden="false" customHeight="false" outlineLevel="0" collapsed="false">
      <c r="A9" s="8" t="s">
        <v>109</v>
      </c>
      <c r="B9" s="7" t="n">
        <v>90</v>
      </c>
      <c r="C9" s="7" t="n">
        <v>82</v>
      </c>
      <c r="D9" s="7" t="n">
        <v>58</v>
      </c>
      <c r="E9" s="7" t="n">
        <v>91</v>
      </c>
      <c r="F9" s="7" t="n">
        <v>62</v>
      </c>
    </row>
    <row r="10" customFormat="false" ht="15" hidden="false" customHeight="false" outlineLevel="0" collapsed="false">
      <c r="A10" s="8" t="s">
        <v>110</v>
      </c>
      <c r="B10" s="7" t="n">
        <v>69</v>
      </c>
      <c r="C10" s="7" t="n">
        <v>95</v>
      </c>
      <c r="D10" s="7" t="n">
        <v>95</v>
      </c>
      <c r="E10" s="7" t="n">
        <v>92</v>
      </c>
      <c r="F10" s="7" t="n">
        <v>58</v>
      </c>
    </row>
    <row r="13" customFormat="false" ht="15" hidden="false" customHeight="false" outlineLevel="0" collapsed="false">
      <c r="A13" s="9" t="s">
        <v>111</v>
      </c>
    </row>
    <row r="14" customFormat="false" ht="15" hidden="false" customHeight="false" outlineLevel="0" collapsed="false">
      <c r="A14" s="0" t="s">
        <v>112</v>
      </c>
      <c r="B14" s="11" t="s">
        <v>108</v>
      </c>
    </row>
    <row r="15" customFormat="false" ht="15" hidden="false" customHeight="false" outlineLevel="0" collapsed="false">
      <c r="A15" s="0" t="s">
        <v>113</v>
      </c>
      <c r="B15" s="11" t="s">
        <v>102</v>
      </c>
    </row>
    <row r="16" customFormat="false" ht="15" hidden="false" customHeight="false" outlineLevel="0" collapsed="false">
      <c r="A16" s="10" t="s">
        <v>114</v>
      </c>
      <c r="B16" s="12" t="n">
        <f aca="false">INDEX(B5:F10,MATCH(B14,A5:A10,0),MATCH(B15,B4:F4,0))</f>
        <v>59</v>
      </c>
    </row>
    <row r="17" customFormat="false" ht="15" hidden="false" customHeight="false" outlineLevel="0" collapsed="false">
      <c r="A17" s="10" t="s">
        <v>115</v>
      </c>
      <c r="B17" s="12" t="n">
        <f aca="false">AVERAGE(INDEX(B5:F10,0,MATCH(B15,B4:F4,0)))</f>
        <v>70.1666666666667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7" min="3" style="0" width="10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5" t="s">
        <v>117</v>
      </c>
    </row>
    <row r="4" customFormat="false" ht="15" hidden="false" customHeight="false" outlineLevel="0" collapsed="false">
      <c r="A4" s="3" t="s">
        <v>118</v>
      </c>
      <c r="B4" s="3" t="s">
        <v>119</v>
      </c>
      <c r="C4" s="3" t="s">
        <v>120</v>
      </c>
      <c r="D4" s="3" t="s">
        <v>121</v>
      </c>
      <c r="E4" s="3" t="s">
        <v>122</v>
      </c>
      <c r="F4" s="3" t="s">
        <v>123</v>
      </c>
      <c r="G4" s="3" t="s">
        <v>124</v>
      </c>
    </row>
    <row r="5" customFormat="false" ht="15" hidden="false" customHeight="false" outlineLevel="0" collapsed="false">
      <c r="A5" s="8" t="s">
        <v>125</v>
      </c>
      <c r="B5" s="13" t="n">
        <v>100000</v>
      </c>
      <c r="C5" s="13" t="n">
        <v>191000</v>
      </c>
      <c r="D5" s="13" t="n">
        <v>179000</v>
      </c>
      <c r="E5" s="13" t="n">
        <v>73000</v>
      </c>
      <c r="F5" s="13" t="n">
        <v>134000</v>
      </c>
      <c r="G5" s="13" t="n">
        <v>194000</v>
      </c>
    </row>
    <row r="6" customFormat="false" ht="15" hidden="false" customHeight="false" outlineLevel="0" collapsed="false">
      <c r="A6" s="8" t="s">
        <v>126</v>
      </c>
      <c r="B6" s="13" t="n">
        <v>161000</v>
      </c>
      <c r="C6" s="13" t="n">
        <v>200000</v>
      </c>
      <c r="D6" s="13" t="n">
        <v>188000</v>
      </c>
      <c r="E6" s="13" t="n">
        <v>56000</v>
      </c>
      <c r="F6" s="13" t="n">
        <v>195000</v>
      </c>
      <c r="G6" s="13" t="n">
        <v>43000</v>
      </c>
    </row>
    <row r="7" customFormat="false" ht="15" hidden="false" customHeight="false" outlineLevel="0" collapsed="false">
      <c r="A7" s="8" t="s">
        <v>127</v>
      </c>
      <c r="B7" s="13" t="n">
        <v>160000</v>
      </c>
      <c r="C7" s="13" t="n">
        <v>106000</v>
      </c>
      <c r="D7" s="13" t="n">
        <v>181000</v>
      </c>
      <c r="E7" s="13" t="n">
        <v>99000</v>
      </c>
      <c r="F7" s="13" t="n">
        <v>89000</v>
      </c>
      <c r="G7" s="13" t="n">
        <v>160000</v>
      </c>
    </row>
    <row r="8" customFormat="false" ht="15" hidden="false" customHeight="false" outlineLevel="0" collapsed="false">
      <c r="A8" s="8" t="s">
        <v>128</v>
      </c>
      <c r="B8" s="13" t="n">
        <v>178000</v>
      </c>
      <c r="C8" s="13" t="n">
        <v>180000</v>
      </c>
      <c r="D8" s="13" t="n">
        <v>161000</v>
      </c>
      <c r="E8" s="13" t="n">
        <v>141000</v>
      </c>
      <c r="F8" s="13" t="n">
        <v>78000</v>
      </c>
      <c r="G8" s="13" t="n">
        <v>99000</v>
      </c>
    </row>
    <row r="9" customFormat="false" ht="15" hidden="false" customHeight="false" outlineLevel="0" collapsed="false">
      <c r="A9" s="8" t="s">
        <v>129</v>
      </c>
      <c r="B9" s="13" t="n">
        <v>78000</v>
      </c>
      <c r="C9" s="13" t="n">
        <v>173000</v>
      </c>
      <c r="D9" s="13" t="n">
        <v>139000</v>
      </c>
      <c r="E9" s="13" t="n">
        <v>43000</v>
      </c>
      <c r="F9" s="13" t="n">
        <v>56000</v>
      </c>
      <c r="G9" s="13" t="n">
        <v>80000</v>
      </c>
    </row>
    <row r="12" customFormat="false" ht="15" hidden="false" customHeight="false" outlineLevel="0" collapsed="false">
      <c r="A12" s="9" t="s">
        <v>92</v>
      </c>
    </row>
    <row r="13" customFormat="false" ht="15" hidden="false" customHeight="false" outlineLevel="0" collapsed="false">
      <c r="A13" s="0" t="s">
        <v>130</v>
      </c>
      <c r="B13" s="11" t="s">
        <v>121</v>
      </c>
    </row>
    <row r="14" customFormat="false" ht="15" hidden="false" customHeight="false" outlineLevel="0" collapsed="false">
      <c r="A14" s="0" t="s">
        <v>131</v>
      </c>
      <c r="B14" s="11" t="s">
        <v>128</v>
      </c>
    </row>
    <row r="15" customFormat="false" ht="15" hidden="false" customHeight="false" outlineLevel="0" collapsed="false">
      <c r="A15" s="10" t="s">
        <v>132</v>
      </c>
      <c r="B15" s="14" t="n">
        <f aca="false">HLOOKUP(B13,B4:G9,2,FALSE())</f>
        <v>179000</v>
      </c>
    </row>
    <row r="16" customFormat="false" ht="15" hidden="false" customHeight="false" outlineLevel="0" collapsed="false">
      <c r="A16" s="10" t="s">
        <v>133</v>
      </c>
      <c r="B16" s="14" t="n">
        <f aca="false">INDEX(B5:G9,MATCH(B14,A5:A9,0),MATCH(B13,B4:G4,0))</f>
        <v>161000</v>
      </c>
    </row>
    <row r="17" customFormat="false" ht="15" hidden="false" customHeight="false" outlineLevel="0" collapsed="false">
      <c r="A17" s="10" t="s">
        <v>134</v>
      </c>
      <c r="B17" s="14" t="n">
        <f aca="false">SUM(INDEX(B5:G9,0,MATCH(B13,B4:G4,0)))</f>
        <v>848000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5" t="s">
        <v>136</v>
      </c>
    </row>
    <row r="4" customFormat="false" ht="15" hidden="false" customHeight="false" outlineLevel="0" collapsed="false">
      <c r="A4" s="3" t="s">
        <v>137</v>
      </c>
      <c r="B4" s="3" t="s">
        <v>138</v>
      </c>
      <c r="C4" s="3" t="s">
        <v>139</v>
      </c>
      <c r="D4" s="3" t="s">
        <v>140</v>
      </c>
      <c r="E4" s="3" t="s">
        <v>141</v>
      </c>
      <c r="F4" s="3" t="s">
        <v>142</v>
      </c>
    </row>
    <row r="5" customFormat="false" ht="15" hidden="false" customHeight="false" outlineLevel="0" collapsed="false">
      <c r="A5" s="8" t="s">
        <v>143</v>
      </c>
      <c r="B5" s="7" t="s">
        <v>100</v>
      </c>
      <c r="C5" s="7" t="s">
        <v>103</v>
      </c>
      <c r="D5" s="7" t="s">
        <v>101</v>
      </c>
      <c r="E5" s="7" t="s">
        <v>104</v>
      </c>
      <c r="F5" s="7" t="s">
        <v>102</v>
      </c>
    </row>
    <row r="6" customFormat="false" ht="15" hidden="false" customHeight="false" outlineLevel="0" collapsed="false">
      <c r="A6" s="8" t="s">
        <v>144</v>
      </c>
      <c r="B6" s="7" t="s">
        <v>101</v>
      </c>
      <c r="C6" s="7" t="s">
        <v>100</v>
      </c>
      <c r="D6" s="7" t="s">
        <v>103</v>
      </c>
      <c r="E6" s="7" t="s">
        <v>102</v>
      </c>
      <c r="F6" s="7" t="s">
        <v>104</v>
      </c>
    </row>
    <row r="7" customFormat="false" ht="15" hidden="false" customHeight="false" outlineLevel="0" collapsed="false">
      <c r="A7" s="8" t="s">
        <v>145</v>
      </c>
      <c r="B7" s="7" t="s">
        <v>102</v>
      </c>
      <c r="C7" s="7" t="s">
        <v>104</v>
      </c>
      <c r="D7" s="7" t="s">
        <v>100</v>
      </c>
      <c r="E7" s="7" t="s">
        <v>101</v>
      </c>
      <c r="F7" s="7" t="s">
        <v>103</v>
      </c>
    </row>
    <row r="8" customFormat="false" ht="15" hidden="false" customHeight="false" outlineLevel="0" collapsed="false">
      <c r="A8" s="8" t="s">
        <v>146</v>
      </c>
      <c r="B8" s="7" t="s">
        <v>103</v>
      </c>
      <c r="C8" s="7" t="s">
        <v>101</v>
      </c>
      <c r="D8" s="7" t="s">
        <v>104</v>
      </c>
      <c r="E8" s="7" t="s">
        <v>100</v>
      </c>
      <c r="F8" s="7" t="s">
        <v>100</v>
      </c>
    </row>
    <row r="11" customFormat="false" ht="15" hidden="false" customHeight="false" outlineLevel="0" collapsed="false">
      <c r="A11" s="9" t="s">
        <v>92</v>
      </c>
    </row>
    <row r="12" customFormat="false" ht="15" hidden="false" customHeight="false" outlineLevel="0" collapsed="false">
      <c r="A12" s="0" t="s">
        <v>147</v>
      </c>
      <c r="B12" s="11" t="s">
        <v>140</v>
      </c>
    </row>
    <row r="13" customFormat="false" ht="15" hidden="false" customHeight="false" outlineLevel="0" collapsed="false">
      <c r="A13" s="0" t="s">
        <v>148</v>
      </c>
      <c r="B13" s="11" t="n">
        <v>3</v>
      </c>
    </row>
    <row r="14" customFormat="false" ht="15" hidden="false" customHeight="false" outlineLevel="0" collapsed="false">
      <c r="A14" s="10" t="s">
        <v>149</v>
      </c>
      <c r="B14" s="12" t="str">
        <f aca="false">HLOOKUP(B12,B4:F8,B13+1,FALSE())</f>
        <v>Math</v>
      </c>
    </row>
    <row r="15" customFormat="false" ht="15" hidden="false" customHeight="false" outlineLevel="0" collapsed="false">
      <c r="A15" s="10" t="s">
        <v>150</v>
      </c>
      <c r="B15" s="12" t="str">
        <f aca="false">INDEX(B5:F8,MATCH("P"&amp;B13,A5:A8,0),MATCH(B12,B4:F4,0))</f>
        <v>Math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5" t="s">
        <v>152</v>
      </c>
    </row>
    <row r="4" customFormat="false" ht="15" hidden="false" customHeight="false" outlineLevel="0" collapsed="false">
      <c r="A4" s="3" t="s">
        <v>153</v>
      </c>
      <c r="B4" s="3" t="s">
        <v>154</v>
      </c>
      <c r="C4" s="3" t="s">
        <v>155</v>
      </c>
    </row>
    <row r="5" customFormat="false" ht="15" hidden="false" customHeight="false" outlineLevel="0" collapsed="false">
      <c r="A5" s="15" t="n">
        <v>0</v>
      </c>
      <c r="B5" s="16" t="n">
        <v>0</v>
      </c>
      <c r="C5" s="7" t="s">
        <v>156</v>
      </c>
    </row>
    <row r="6" customFormat="false" ht="15" hidden="false" customHeight="false" outlineLevel="0" collapsed="false">
      <c r="A6" s="15" t="n">
        <v>1000</v>
      </c>
      <c r="B6" s="16" t="n">
        <v>0.05</v>
      </c>
      <c r="C6" s="7" t="s">
        <v>157</v>
      </c>
    </row>
    <row r="7" customFormat="false" ht="15" hidden="false" customHeight="false" outlineLevel="0" collapsed="false">
      <c r="A7" s="15" t="n">
        <v>5000</v>
      </c>
      <c r="B7" s="16" t="n">
        <v>0.1</v>
      </c>
      <c r="C7" s="7" t="s">
        <v>158</v>
      </c>
    </row>
    <row r="8" customFormat="false" ht="15" hidden="false" customHeight="false" outlineLevel="0" collapsed="false">
      <c r="A8" s="15" t="n">
        <v>10000</v>
      </c>
      <c r="B8" s="16" t="n">
        <v>0.15</v>
      </c>
      <c r="C8" s="7" t="s">
        <v>159</v>
      </c>
    </row>
    <row r="9" customFormat="false" ht="15" hidden="false" customHeight="false" outlineLevel="0" collapsed="false">
      <c r="A9" s="15" t="n">
        <v>25000</v>
      </c>
      <c r="B9" s="16" t="n">
        <v>0.2</v>
      </c>
      <c r="C9" s="7" t="s">
        <v>160</v>
      </c>
    </row>
    <row r="12" customFormat="false" ht="15" hidden="false" customHeight="false" outlineLevel="0" collapsed="false">
      <c r="A12" s="9" t="s">
        <v>161</v>
      </c>
    </row>
    <row r="13" customFormat="false" ht="15" hidden="false" customHeight="false" outlineLevel="0" collapsed="false">
      <c r="A13" s="0" t="s">
        <v>162</v>
      </c>
      <c r="B13" s="17" t="n">
        <v>7500</v>
      </c>
    </row>
    <row r="14" customFormat="false" ht="15" hidden="false" customHeight="false" outlineLevel="0" collapsed="false">
      <c r="A14" s="10" t="s">
        <v>163</v>
      </c>
      <c r="B14" s="18" t="n">
        <f aca="false">VLOOKUP(B13,A5:C9,2,TRUE())</f>
        <v>0.1</v>
      </c>
    </row>
    <row r="15" customFormat="false" ht="15" hidden="false" customHeight="false" outlineLevel="0" collapsed="false">
      <c r="A15" s="10" t="s">
        <v>164</v>
      </c>
      <c r="B15" s="12" t="str">
        <f aca="false">VLOOKUP(B13,A5:C9,3,TRUE())</f>
        <v>Silver</v>
      </c>
    </row>
    <row r="16" customFormat="false" ht="15" hidden="false" customHeight="false" outlineLevel="0" collapsed="false">
      <c r="A16" s="10" t="s">
        <v>165</v>
      </c>
      <c r="B16" s="14" t="n">
        <f aca="false">B13*VLOOKUP(B13,A5:C9,2,TRUE())</f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2026-06-07T13:00:02Z</dcterms:created>
  <dc:creator>openpyxl</dc:creator>
  <dc:description/>
  <dc:language>en-US</dc:language>
  <cp:lastModifiedBy/>
  <dcterms:modified xsi:type="dcterms:W3CDTF">2026-06-07T13:00:02Z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