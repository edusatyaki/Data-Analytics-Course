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Instructions" sheetId="1" state="visible" r:id="rId1"/>
    <sheet name="Tax Worksheet" sheetId="2" state="visible" r:id="rId2"/>
    <sheet name="Questions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2F5496"/>
      <sz val="14"/>
    </font>
    <font>
      <name val="Arial"/>
      <charset val="1"/>
      <family val="0"/>
      <i val="1"/>
      <color rgb="FF595959"/>
      <sz val="10"/>
    </font>
    <font>
      <name val="Arial"/>
      <charset val="1"/>
      <family val="0"/>
      <b val="1"/>
      <color rgb="FF2F5496"/>
      <sz val="12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b val="1"/>
      <color rgb="FFC00000"/>
      <sz val="12"/>
    </font>
    <font>
      <name val="Arial"/>
      <charset val="1"/>
      <family val="0"/>
      <sz val="11"/>
    </font>
    <font>
      <name val="Arial"/>
      <charset val="1"/>
      <family val="0"/>
      <color rgb="FF000000"/>
      <sz val="10"/>
    </font>
    <font>
      <name val="Arial"/>
      <charset val="1"/>
      <family val="0"/>
      <color rgb="FF595959"/>
      <sz val="9"/>
    </font>
  </fonts>
  <fills count="7">
    <fill>
      <patternFill/>
    </fill>
    <fill>
      <patternFill patternType="gray125"/>
    </fill>
    <fill>
      <patternFill patternType="solid">
        <fgColor rgb="FF2F5496"/>
        <bgColor rgb="FF595959"/>
      </patternFill>
    </fill>
    <fill>
      <patternFill patternType="solid">
        <fgColor rgb="FFDDEBF7"/>
        <bgColor rgb="FFD9E1F2"/>
      </patternFill>
    </fill>
    <fill>
      <patternFill patternType="solid">
        <fgColor rgb="FFFCE4D6"/>
        <bgColor rgb="FFE2EFDA"/>
      </patternFill>
    </fill>
    <fill>
      <patternFill patternType="solid">
        <fgColor rgb="FFE2EFDA"/>
        <bgColor rgb="FFDDEBF7"/>
      </patternFill>
    </fill>
    <fill>
      <patternFill patternType="solid">
        <fgColor rgb="FFD9E1F2"/>
        <bgColor rgb="FFDDEBF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2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3" fontId="0" fillId="0" borderId="1" applyAlignment="1" pivotButton="0" quotePrefix="0" xfId="0">
      <alignment horizontal="general" vertical="bottom"/>
    </xf>
    <xf numFmtId="0" fontId="0" fillId="4" borderId="1" applyAlignment="1" pivotButton="0" quotePrefix="0" xfId="0">
      <alignment horizontal="general" vertical="bottom"/>
    </xf>
    <xf numFmtId="3" fontId="0" fillId="5" borderId="1" applyAlignment="1" pivotButton="0" quotePrefix="0" xfId="0">
      <alignment horizontal="general" vertical="bottom"/>
    </xf>
    <xf numFmtId="9" fontId="0" fillId="0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bottom"/>
    </xf>
    <xf numFmtId="3" fontId="9" fillId="3" borderId="1" applyAlignment="1" pivotButton="0" quotePrefix="0" xfId="0">
      <alignment horizontal="general" vertical="bottom"/>
    </xf>
    <xf numFmtId="9" fontId="9" fillId="3" borderId="1" applyAlignment="1" pivotButton="0" quotePrefix="0" xfId="0">
      <alignment horizontal="general" vertical="bottom"/>
    </xf>
    <xf numFmtId="0" fontId="9" fillId="5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general" vertical="bottom"/>
    </xf>
    <xf numFmtId="0" fontId="0" fillId="5" borderId="1" applyAlignment="1" pivotButton="0" quotePrefix="0" xfId="0">
      <alignment horizontal="general" vertical="bottom"/>
    </xf>
    <xf numFmtId="0" fontId="9" fillId="3" borderId="1" applyAlignment="1" pivotButton="0" quotePrefix="0" xfId="0">
      <alignment horizontal="general" vertical="bottom"/>
    </xf>
    <xf numFmtId="0" fontId="9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top" wrapText="1"/>
    </xf>
    <xf numFmtId="0" fontId="13" fillId="0" borderId="1" applyAlignment="1" pivotButton="0" quotePrefix="0" xfId="0">
      <alignment horizontal="left" vertical="top" wrapText="1"/>
    </xf>
    <xf numFmtId="0" fontId="8" fillId="4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center" vertical="center"/>
    </xf>
    <xf numFmtId="3" fontId="8" fillId="4" borderId="1" applyAlignment="1" pivotButton="0" quotePrefix="0" xfId="0">
      <alignment horizontal="general" vertical="bottom"/>
    </xf>
    <xf numFmtId="9" fontId="8" fillId="4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2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3" fontId="0" fillId="0" borderId="1" applyAlignment="1" pivotButton="0" quotePrefix="0" xfId="0">
      <alignment horizontal="general" vertical="bottom"/>
    </xf>
    <xf numFmtId="0" fontId="0" fillId="4" borderId="1" applyAlignment="1" pivotButton="0" quotePrefix="0" xfId="0">
      <alignment horizontal="general" vertical="bottom"/>
    </xf>
    <xf numFmtId="3" fontId="0" fillId="5" borderId="1" applyAlignment="1" pivotButton="0" quotePrefix="0" xfId="0">
      <alignment horizontal="general" vertical="bottom"/>
    </xf>
    <xf numFmtId="9" fontId="0" fillId="0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bottom"/>
    </xf>
    <xf numFmtId="3" fontId="9" fillId="3" borderId="1" applyAlignment="1" pivotButton="0" quotePrefix="0" xfId="0">
      <alignment horizontal="general" vertical="bottom"/>
    </xf>
    <xf numFmtId="9" fontId="9" fillId="3" borderId="1" applyAlignment="1" pivotButton="0" quotePrefix="0" xfId="0">
      <alignment horizontal="general" vertical="bottom"/>
    </xf>
    <xf numFmtId="0" fontId="9" fillId="5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general" vertical="bottom"/>
    </xf>
    <xf numFmtId="0" fontId="0" fillId="5" borderId="1" applyAlignment="1" pivotButton="0" quotePrefix="0" xfId="0">
      <alignment horizontal="general" vertical="bottom"/>
    </xf>
    <xf numFmtId="0" fontId="9" fillId="3" borderId="1" applyAlignment="1" pivotButton="0" quotePrefix="0" xfId="0">
      <alignment horizontal="general" vertical="bottom"/>
    </xf>
    <xf numFmtId="0" fontId="9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top" wrapText="1"/>
    </xf>
    <xf numFmtId="0" fontId="13" fillId="0" borderId="1" applyAlignment="1" pivotButton="0" quotePrefix="0" xfId="0">
      <alignment horizontal="left" vertical="top" wrapText="1"/>
    </xf>
    <xf numFmtId="0" fontId="8" fillId="4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center" vertical="center"/>
    </xf>
    <xf numFmtId="3" fontId="8" fillId="4" borderId="1" applyAlignment="1" pivotButton="0" quotePrefix="0" xfId="0">
      <alignment horizontal="general" vertical="bottom"/>
    </xf>
    <xf numFmtId="9" fontId="8" fillId="4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DD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G21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31" min="1" max="1"/>
    <col width="46" customWidth="1" style="31" min="2" max="2"/>
    <col width="30" customWidth="1" style="31" min="3" max="3"/>
    <col width="8" customWidth="1" style="31" min="4" max="4"/>
  </cols>
  <sheetData>
    <row r="1" ht="17.35" customHeight="1" s="32">
      <c r="A1" s="33" t="inlineStr">
        <is>
          <t>Income Tax Lookup Assignment — Advanced</t>
        </is>
      </c>
    </row>
    <row r="2" ht="43.5" customHeight="1" s="32">
      <c r="A2" s="34" t="inlineStr">
        <is>
          <t>This assignment has TWO working sheets. On 'Tax Worksheet' you auto-fill a 12-employee payroll table. On 'Questions' you answer 18 lookup tasks. Everything must be done with formulas — no typed answers, no manual arithmetic. Tax rules: New Regime, FY 2024-25 (AY 2025-26).</t>
        </is>
      </c>
    </row>
    <row r="4" ht="15" customHeight="1" s="32">
      <c r="A4" s="35" t="inlineStr">
        <is>
          <t>Part A — Tax Worksheet (auto-fill columns G–L for all 12 employees)</t>
        </is>
      </c>
    </row>
    <row r="5" ht="15" customHeight="1" s="32">
      <c r="A5" s="36" t="inlineStr">
        <is>
          <t>Column</t>
        </is>
      </c>
      <c r="B5" s="36" t="inlineStr">
        <is>
          <t>Compute</t>
        </is>
      </c>
      <c r="C5" s="36" t="inlineStr">
        <is>
          <t>Function</t>
        </is>
      </c>
      <c r="D5" s="36" t="inlineStr">
        <is>
          <t>Marks</t>
        </is>
      </c>
    </row>
    <row r="6" ht="15" customHeight="1" s="32">
      <c r="A6" s="37" t="inlineStr">
        <is>
          <t>G Taxable</t>
        </is>
      </c>
      <c r="B6" s="37" t="inlineStr">
        <is>
          <t>Gross − Standard Deduction (min 0)</t>
        </is>
      </c>
      <c r="C6" s="37" t="inlineStr">
        <is>
          <t>MAX + absolute ref</t>
        </is>
      </c>
      <c r="D6" s="37" t="inlineStr">
        <is>
          <t>2</t>
        </is>
      </c>
    </row>
    <row r="7" ht="15" customHeight="1" s="32">
      <c r="A7" s="37" t="inlineStr">
        <is>
          <t>H Slab Rate</t>
        </is>
      </c>
      <c r="B7" s="37" t="inlineStr">
        <is>
          <t>Marginal rate for the taxable income</t>
        </is>
      </c>
      <c r="C7" s="37" t="inlineStr">
        <is>
          <t>VLOOKUP (TRUE)</t>
        </is>
      </c>
      <c r="D7" s="37" t="inlineStr">
        <is>
          <t>2</t>
        </is>
      </c>
    </row>
    <row r="8" ht="15" customHeight="1" s="32">
      <c r="A8" s="37" t="inlineStr">
        <is>
          <t>I Slab Label</t>
        </is>
      </c>
      <c r="B8" s="37" t="inlineStr">
        <is>
          <t>Slab name</t>
        </is>
      </c>
      <c r="C8" s="37" t="inlineStr">
        <is>
          <t>INDEX + MATCH (1)</t>
        </is>
      </c>
      <c r="D8" s="37" t="inlineStr">
        <is>
          <t>2</t>
        </is>
      </c>
    </row>
    <row r="9" ht="15" customHeight="1" s="32">
      <c r="A9" s="37" t="inlineStr">
        <is>
          <t>J Income Tax</t>
        </is>
      </c>
      <c r="B9" s="37" t="inlineStr">
        <is>
          <t>Progressive tax: tax-at-band-start + excess×rate</t>
        </is>
      </c>
      <c r="C9" s="37" t="inlineStr">
        <is>
          <t>VLOOKUP (TRUE) nested</t>
        </is>
      </c>
      <c r="D9" s="37" t="inlineStr">
        <is>
          <t>4</t>
        </is>
      </c>
    </row>
    <row r="10" ht="15" customHeight="1" s="32">
      <c r="A10" s="37" t="inlineStr">
        <is>
          <t>K Rebate 87A</t>
        </is>
      </c>
      <c r="B10" s="37" t="inlineStr">
        <is>
          <t>If taxable ≤ ₹7L, min(tax, ₹25,000), else 0</t>
        </is>
      </c>
      <c r="C10" s="37" t="inlineStr">
        <is>
          <t>IF + MIN + refs</t>
        </is>
      </c>
      <c r="D10" s="37" t="inlineStr">
        <is>
          <t>3</t>
        </is>
      </c>
    </row>
    <row r="11" ht="15" customHeight="1" s="32">
      <c r="A11" s="37" t="inlineStr">
        <is>
          <t>L Tax After Rebate</t>
        </is>
      </c>
      <c r="B11" s="37" t="inlineStr">
        <is>
          <t>Income Tax − Rebate</t>
        </is>
      </c>
      <c r="C11" s="37" t="inlineStr">
        <is>
          <t>Subtraction</t>
        </is>
      </c>
      <c r="D11" s="37" t="inlineStr">
        <is>
          <t>1</t>
        </is>
      </c>
    </row>
    <row r="12" ht="15" customHeight="1" s="32">
      <c r="A12" s="38" t="inlineStr">
        <is>
          <t>Part A subtotal</t>
        </is>
      </c>
      <c r="B12" s="39" t="n"/>
      <c r="C12" s="39" t="n"/>
      <c r="D12" s="38" t="inlineStr">
        <is>
          <t>14</t>
        </is>
      </c>
    </row>
    <row r="14" ht="15" customHeight="1" s="32">
      <c r="A14" s="35" t="inlineStr">
        <is>
          <t>Part B — Questions sheet (18 tasks)</t>
        </is>
      </c>
    </row>
    <row r="15" ht="30" customHeight="1" s="32">
      <c r="A15" s="40" t="inlineStr">
        <is>
          <t>18 questions covering XLOOKUP, VLOOKUP, HLOOKUP, INDEX, MATCH and combinations (two-way lookup, reverse lookup, nested lookups, plus COUNTIF / SUMIF / MAX helpers). Worth 51 marks.</t>
        </is>
      </c>
    </row>
    <row r="17" ht="15" customHeight="1" s="32">
      <c r="A17" s="41" t="inlineStr">
        <is>
          <t>GRAND TOTAL: 65 marks</t>
        </is>
      </c>
    </row>
    <row r="19" ht="60" customHeight="1" s="32">
      <c r="A19" s="34" t="inlineStr">
        <is>
          <t>Colour key:  PEACH = write your formula here  •  BLUE = input/key cells  •  GREEN = lookup-key columns.  Rules: exact match (FALSE/0) for EmpID, Name, Department, City; approximate match (TRUE/1) only for income→slab and income→surcharge. Use ABSOLUTE ($) references to all reference tables. The progressive-tax method uses the 'Tax at Band Start' column so a single set of VLOOKUPs gives the full tax.</t>
        </is>
      </c>
    </row>
    <row r="21" ht="15" customHeight="1" s="32">
      <c r="A21" s="42" t="inlineStr">
        <is>
          <t>Name: ______________________   Roll No: __________   Date: __________</t>
        </is>
      </c>
    </row>
  </sheetData>
  <mergeCells count="4">
    <mergeCell ref="A19:D19"/>
    <mergeCell ref="A15:D15"/>
    <mergeCell ref="A2:G2"/>
    <mergeCell ref="A21:D2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S4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8" customWidth="1" style="31" min="1" max="1"/>
    <col width="15" customWidth="1" style="31" min="2" max="2"/>
    <col width="12" customWidth="1" style="31" min="3" max="3"/>
    <col width="8" customWidth="1" style="31" min="4" max="4"/>
    <col width="11" customWidth="1" style="31" min="5" max="5"/>
    <col width="13" customWidth="1" style="31" min="6" max="7"/>
    <col width="9" customWidth="1" style="31" min="8" max="8"/>
    <col width="10" customWidth="1" style="31" min="9" max="9"/>
    <col width="13" customWidth="1" style="31" min="10" max="10"/>
    <col width="12" customWidth="1" style="31" min="11" max="11"/>
    <col width="15" customWidth="1" style="31" min="12" max="12"/>
    <col width="24" customWidth="1" style="31" min="14" max="14"/>
    <col width="16" customWidth="1" style="31" min="15" max="15"/>
    <col width="10" customWidth="1" style="31" min="16" max="16"/>
    <col width="16" customWidth="1" style="31" min="17" max="17"/>
    <col width="12" customWidth="1" style="31" min="18" max="19"/>
  </cols>
  <sheetData>
    <row r="1" ht="17.35" customHeight="1" s="32">
      <c r="A1" s="33" t="inlineStr">
        <is>
          <t>Income Tax Auto-Fill — Advanced Worksheet</t>
        </is>
      </c>
    </row>
    <row r="2" ht="30" customHeight="1" s="32">
      <c r="A2" s="34" t="inlineStr">
        <is>
          <t>New Regime, FY 2024-25 (AY 2025-26). Fill every PEACH cell with a lookup-based formula. Reference tables are to the right (columns from N). Use absolute ($) refs so formulas copy down.</t>
        </is>
      </c>
    </row>
    <row r="4" ht="15" customHeight="1" s="32">
      <c r="A4" s="36" t="inlineStr">
        <is>
          <t>EmpID</t>
        </is>
      </c>
      <c r="B4" s="36" t="inlineStr">
        <is>
          <t>Name</t>
        </is>
      </c>
      <c r="C4" s="36" t="inlineStr">
        <is>
          <t>Dept</t>
        </is>
      </c>
      <c r="D4" s="36" t="inlineStr">
        <is>
          <t>Gender</t>
        </is>
      </c>
      <c r="E4" s="36" t="inlineStr">
        <is>
          <t>City</t>
        </is>
      </c>
      <c r="F4" s="36" t="inlineStr">
        <is>
          <t>Gross (₹)</t>
        </is>
      </c>
      <c r="G4" s="36" t="inlineStr">
        <is>
          <t>Taxable (₹)</t>
        </is>
      </c>
      <c r="H4" s="36" t="inlineStr">
        <is>
          <t>Slab Rate</t>
        </is>
      </c>
      <c r="I4" s="36" t="inlineStr">
        <is>
          <t>Slab Label</t>
        </is>
      </c>
      <c r="J4" s="36" t="inlineStr">
        <is>
          <t>Income Tax (₹)</t>
        </is>
      </c>
      <c r="K4" s="36" t="inlineStr">
        <is>
          <t>Rebate 87A (₹)</t>
        </is>
      </c>
      <c r="L4" s="36" t="inlineStr">
        <is>
          <t>Tax After Rebate (₹)</t>
        </is>
      </c>
      <c r="N4" s="43" t="inlineStr">
        <is>
          <t>Slab Table (progressive) — New Regime FY 2024-25</t>
        </is>
      </c>
    </row>
    <row r="5" ht="15" customHeight="1" s="32">
      <c r="A5" s="44" t="inlineStr">
        <is>
          <t>E101</t>
        </is>
      </c>
      <c r="B5" s="39" t="inlineStr">
        <is>
          <t>Aarav Sharma</t>
        </is>
      </c>
      <c r="C5" s="39" t="inlineStr">
        <is>
          <t>Engineering</t>
        </is>
      </c>
      <c r="D5" s="39" t="inlineStr">
        <is>
          <t>M</t>
        </is>
      </c>
      <c r="E5" s="39" t="inlineStr">
        <is>
          <t>Bangalore</t>
        </is>
      </c>
      <c r="F5" s="45" t="n">
        <v>1850000</v>
      </c>
      <c r="G5" s="46">
        <f>MAX(F5-$O$22,0)</f>
        <v/>
      </c>
      <c r="H5" s="46">
        <f>VLOOKUP(G5,$N$6:$Q$11,2,TRUE)</f>
        <v/>
      </c>
      <c r="I5" s="46">
        <f>INDEX($P$6:$P$11,MATCH(G5,$N$6:$N$11,1))</f>
        <v/>
      </c>
      <c r="J5" s="46">
        <f>VLOOKUP(G5,$N$6:$Q$11,4,TRUE)+(G5-VLOOKUP(G5,$N$6:$Q$11,1,TRUE))*VLOOKUP(G5,$N$6:$Q$11,2,TRUE)</f>
        <v/>
      </c>
      <c r="K5" s="46">
        <f>IF(G5&lt;=$O$24,MIN(J5,$O$25),0)</f>
        <v/>
      </c>
      <c r="L5" s="46">
        <f>J5-K5</f>
        <v/>
      </c>
      <c r="N5" s="36" t="inlineStr">
        <is>
          <t>Income From (₹)</t>
        </is>
      </c>
      <c r="O5" s="36" t="inlineStr">
        <is>
          <t>Rate</t>
        </is>
      </c>
      <c r="P5" s="36" t="inlineStr">
        <is>
          <t>Label</t>
        </is>
      </c>
      <c r="Q5" s="36" t="inlineStr">
        <is>
          <t>Tax at Band Start (₹)</t>
        </is>
      </c>
    </row>
    <row r="6" ht="15" customHeight="1" s="32">
      <c r="A6" s="44" t="inlineStr">
        <is>
          <t>E102</t>
        </is>
      </c>
      <c r="B6" s="39" t="inlineStr">
        <is>
          <t>Diya Patel</t>
        </is>
      </c>
      <c r="C6" s="39" t="inlineStr">
        <is>
          <t>Sales</t>
        </is>
      </c>
      <c r="D6" s="39" t="inlineStr">
        <is>
          <t>F</t>
        </is>
      </c>
      <c r="E6" s="39" t="inlineStr">
        <is>
          <t>Mumbai</t>
        </is>
      </c>
      <c r="F6" s="45" t="n">
        <v>680000</v>
      </c>
      <c r="G6" s="46">
        <f>MAX(F6-$O$22,0)</f>
        <v/>
      </c>
      <c r="H6" s="46">
        <f>VLOOKUP(G6,$N$6:$Q$11,2,TRUE)</f>
        <v/>
      </c>
      <c r="I6" s="46">
        <f>INDEX($P$6:$P$11,MATCH(G6,$N$6:$N$11,1))</f>
        <v/>
      </c>
      <c r="J6" s="46">
        <f>VLOOKUP(G6,$N$6:$Q$11,4,TRUE)+(G6-VLOOKUP(G6,$N$6:$Q$11,1,TRUE))*VLOOKUP(G6,$N$6:$Q$11,2,TRUE)</f>
        <v/>
      </c>
      <c r="K6" s="46">
        <f>IF(G6&lt;=$O$24,MIN(J6,$O$25),0)</f>
        <v/>
      </c>
      <c r="L6" s="46">
        <f>J6-K6</f>
        <v/>
      </c>
      <c r="N6" s="47" t="n">
        <v>0</v>
      </c>
      <c r="O6" s="48" t="n">
        <v>0</v>
      </c>
      <c r="P6" s="39" t="inlineStr">
        <is>
          <t>Nil</t>
        </is>
      </c>
      <c r="Q6" s="45" t="n">
        <v>0</v>
      </c>
    </row>
    <row r="7" ht="15" customHeight="1" s="32">
      <c r="A7" s="44" t="inlineStr">
        <is>
          <t>E103</t>
        </is>
      </c>
      <c r="B7" s="39" t="inlineStr">
        <is>
          <t>Vihaan Reddy</t>
        </is>
      </c>
      <c r="C7" s="39" t="inlineStr">
        <is>
          <t>Marketing</t>
        </is>
      </c>
      <c r="D7" s="39" t="inlineStr">
        <is>
          <t>M</t>
        </is>
      </c>
      <c r="E7" s="39" t="inlineStr">
        <is>
          <t>Hyderabad</t>
        </is>
      </c>
      <c r="F7" s="45" t="n">
        <v>1120000</v>
      </c>
      <c r="G7" s="46">
        <f>MAX(F7-$O$22,0)</f>
        <v/>
      </c>
      <c r="H7" s="46">
        <f>VLOOKUP(G7,$N$6:$Q$11,2,TRUE)</f>
        <v/>
      </c>
      <c r="I7" s="46">
        <f>INDEX($P$6:$P$11,MATCH(G7,$N$6:$N$11,1))</f>
        <v/>
      </c>
      <c r="J7" s="46">
        <f>VLOOKUP(G7,$N$6:$Q$11,4,TRUE)+(G7-VLOOKUP(G7,$N$6:$Q$11,1,TRUE))*VLOOKUP(G7,$N$6:$Q$11,2,TRUE)</f>
        <v/>
      </c>
      <c r="K7" s="46">
        <f>IF(G7&lt;=$O$24,MIN(J7,$O$25),0)</f>
        <v/>
      </c>
      <c r="L7" s="46">
        <f>J7-K7</f>
        <v/>
      </c>
      <c r="N7" s="47" t="n">
        <v>300000</v>
      </c>
      <c r="O7" s="48" t="n">
        <v>0.05</v>
      </c>
      <c r="P7" s="39" t="inlineStr">
        <is>
          <t>5%</t>
        </is>
      </c>
      <c r="Q7" s="45" t="n">
        <v>0</v>
      </c>
    </row>
    <row r="8" ht="15" customHeight="1" s="32">
      <c r="A8" s="44" t="inlineStr">
        <is>
          <t>E104</t>
        </is>
      </c>
      <c r="B8" s="39" t="inlineStr">
        <is>
          <t>Ananya Iyer</t>
        </is>
      </c>
      <c r="C8" s="39" t="inlineStr">
        <is>
          <t>Finance</t>
        </is>
      </c>
      <c r="D8" s="39" t="inlineStr">
        <is>
          <t>F</t>
        </is>
      </c>
      <c r="E8" s="39" t="inlineStr">
        <is>
          <t>Chennai</t>
        </is>
      </c>
      <c r="F8" s="45" t="n">
        <v>1380000</v>
      </c>
      <c r="G8" s="46">
        <f>MAX(F8-$O$22,0)</f>
        <v/>
      </c>
      <c r="H8" s="46">
        <f>VLOOKUP(G8,$N$6:$Q$11,2,TRUE)</f>
        <v/>
      </c>
      <c r="I8" s="46">
        <f>INDEX($P$6:$P$11,MATCH(G8,$N$6:$N$11,1))</f>
        <v/>
      </c>
      <c r="J8" s="46">
        <f>VLOOKUP(G8,$N$6:$Q$11,4,TRUE)+(G8-VLOOKUP(G8,$N$6:$Q$11,1,TRUE))*VLOOKUP(G8,$N$6:$Q$11,2,TRUE)</f>
        <v/>
      </c>
      <c r="K8" s="46">
        <f>IF(G8&lt;=$O$24,MIN(J8,$O$25),0)</f>
        <v/>
      </c>
      <c r="L8" s="46">
        <f>J8-K8</f>
        <v/>
      </c>
      <c r="N8" s="47" t="n">
        <v>700000</v>
      </c>
      <c r="O8" s="48" t="n">
        <v>0.1</v>
      </c>
      <c r="P8" s="39" t="inlineStr">
        <is>
          <t>10%</t>
        </is>
      </c>
      <c r="Q8" s="45" t="n">
        <v>20000</v>
      </c>
    </row>
    <row r="9" ht="15" customHeight="1" s="32">
      <c r="A9" s="44" t="inlineStr">
        <is>
          <t>E105</t>
        </is>
      </c>
      <c r="B9" s="39" t="inlineStr">
        <is>
          <t>Kabir Nair</t>
        </is>
      </c>
      <c r="C9" s="39" t="inlineStr">
        <is>
          <t>Engineering</t>
        </is>
      </c>
      <c r="D9" s="39" t="inlineStr">
        <is>
          <t>M</t>
        </is>
      </c>
      <c r="E9" s="39" t="inlineStr">
        <is>
          <t>Bangalore</t>
        </is>
      </c>
      <c r="F9" s="45" t="n">
        <v>6200000</v>
      </c>
      <c r="G9" s="46">
        <f>MAX(F9-$O$22,0)</f>
        <v/>
      </c>
      <c r="H9" s="46">
        <f>VLOOKUP(G9,$N$6:$Q$11,2,TRUE)</f>
        <v/>
      </c>
      <c r="I9" s="46">
        <f>INDEX($P$6:$P$11,MATCH(G9,$N$6:$N$11,1))</f>
        <v/>
      </c>
      <c r="J9" s="46">
        <f>VLOOKUP(G9,$N$6:$Q$11,4,TRUE)+(G9-VLOOKUP(G9,$N$6:$Q$11,1,TRUE))*VLOOKUP(G9,$N$6:$Q$11,2,TRUE)</f>
        <v/>
      </c>
      <c r="K9" s="46">
        <f>IF(G9&lt;=$O$24,MIN(J9,$O$25),0)</f>
        <v/>
      </c>
      <c r="L9" s="46">
        <f>J9-K9</f>
        <v/>
      </c>
      <c r="N9" s="47" t="n">
        <v>1000000</v>
      </c>
      <c r="O9" s="48" t="n">
        <v>0.15</v>
      </c>
      <c r="P9" s="39" t="inlineStr">
        <is>
          <t>15%</t>
        </is>
      </c>
      <c r="Q9" s="45" t="n">
        <v>50000</v>
      </c>
    </row>
    <row r="10" ht="15" customHeight="1" s="32">
      <c r="A10" s="44" t="inlineStr">
        <is>
          <t>E106</t>
        </is>
      </c>
      <c r="B10" s="39" t="inlineStr">
        <is>
          <t>Ishaan Gupta</t>
        </is>
      </c>
      <c r="C10" s="39" t="inlineStr">
        <is>
          <t>Sales</t>
        </is>
      </c>
      <c r="D10" s="39" t="inlineStr">
        <is>
          <t>M</t>
        </is>
      </c>
      <c r="E10" s="39" t="inlineStr">
        <is>
          <t>Delhi</t>
        </is>
      </c>
      <c r="F10" s="45" t="n">
        <v>520000</v>
      </c>
      <c r="G10" s="46">
        <f>MAX(F10-$O$22,0)</f>
        <v/>
      </c>
      <c r="H10" s="46">
        <f>VLOOKUP(G10,$N$6:$Q$11,2,TRUE)</f>
        <v/>
      </c>
      <c r="I10" s="46">
        <f>INDEX($P$6:$P$11,MATCH(G10,$N$6:$N$11,1))</f>
        <v/>
      </c>
      <c r="J10" s="46">
        <f>VLOOKUP(G10,$N$6:$Q$11,4,TRUE)+(G10-VLOOKUP(G10,$N$6:$Q$11,1,TRUE))*VLOOKUP(G10,$N$6:$Q$11,2,TRUE)</f>
        <v/>
      </c>
      <c r="K10" s="46">
        <f>IF(G10&lt;=$O$24,MIN(J10,$O$25),0)</f>
        <v/>
      </c>
      <c r="L10" s="46">
        <f>J10-K10</f>
        <v/>
      </c>
      <c r="N10" s="47" t="n">
        <v>1200000</v>
      </c>
      <c r="O10" s="48" t="n">
        <v>0.2</v>
      </c>
      <c r="P10" s="39" t="inlineStr">
        <is>
          <t>20%</t>
        </is>
      </c>
      <c r="Q10" s="45" t="n">
        <v>80000</v>
      </c>
    </row>
    <row r="11" ht="15" customHeight="1" s="32">
      <c r="A11" s="44" t="inlineStr">
        <is>
          <t>E107</t>
        </is>
      </c>
      <c r="B11" s="39" t="inlineStr">
        <is>
          <t>Saanvi Rao</t>
        </is>
      </c>
      <c r="C11" s="39" t="inlineStr">
        <is>
          <t>HR</t>
        </is>
      </c>
      <c r="D11" s="39" t="inlineStr">
        <is>
          <t>F</t>
        </is>
      </c>
      <c r="E11" s="39" t="inlineStr">
        <is>
          <t>Pune</t>
        </is>
      </c>
      <c r="F11" s="45" t="n">
        <v>940000</v>
      </c>
      <c r="G11" s="46">
        <f>MAX(F11-$O$22,0)</f>
        <v/>
      </c>
      <c r="H11" s="46">
        <f>VLOOKUP(G11,$N$6:$Q$11,2,TRUE)</f>
        <v/>
      </c>
      <c r="I11" s="46">
        <f>INDEX($P$6:$P$11,MATCH(G11,$N$6:$N$11,1))</f>
        <v/>
      </c>
      <c r="J11" s="46">
        <f>VLOOKUP(G11,$N$6:$Q$11,4,TRUE)+(G11-VLOOKUP(G11,$N$6:$Q$11,1,TRUE))*VLOOKUP(G11,$N$6:$Q$11,2,TRUE)</f>
        <v/>
      </c>
      <c r="K11" s="46">
        <f>IF(G11&lt;=$O$24,MIN(J11,$O$25),0)</f>
        <v/>
      </c>
      <c r="L11" s="46">
        <f>J11-K11</f>
        <v/>
      </c>
      <c r="N11" s="47" t="n">
        <v>1500000</v>
      </c>
      <c r="O11" s="48" t="n">
        <v>0.3</v>
      </c>
      <c r="P11" s="39" t="inlineStr">
        <is>
          <t>30%</t>
        </is>
      </c>
      <c r="Q11" s="45" t="n">
        <v>140000</v>
      </c>
    </row>
    <row r="12" ht="15" customHeight="1" s="32">
      <c r="A12" s="44" t="inlineStr">
        <is>
          <t>E108</t>
        </is>
      </c>
      <c r="B12" s="39" t="inlineStr">
        <is>
          <t>Arjun Mehta</t>
        </is>
      </c>
      <c r="C12" s="39" t="inlineStr">
        <is>
          <t>Finance</t>
        </is>
      </c>
      <c r="D12" s="39" t="inlineStr">
        <is>
          <t>M</t>
        </is>
      </c>
      <c r="E12" s="39" t="inlineStr">
        <is>
          <t>Mumbai</t>
        </is>
      </c>
      <c r="F12" s="45" t="n">
        <v>760000</v>
      </c>
      <c r="G12" s="46">
        <f>MAX(F12-$O$22,0)</f>
        <v/>
      </c>
      <c r="H12" s="46">
        <f>VLOOKUP(G12,$N$6:$Q$11,2,TRUE)</f>
        <v/>
      </c>
      <c r="I12" s="46">
        <f>INDEX($P$6:$P$11,MATCH(G12,$N$6:$N$11,1))</f>
        <v/>
      </c>
      <c r="J12" s="46">
        <f>VLOOKUP(G12,$N$6:$Q$11,4,TRUE)+(G12-VLOOKUP(G12,$N$6:$Q$11,1,TRUE))*VLOOKUP(G12,$N$6:$Q$11,2,TRUE)</f>
        <v/>
      </c>
      <c r="K12" s="46">
        <f>IF(G12&lt;=$O$24,MIN(J12,$O$25),0)</f>
        <v/>
      </c>
      <c r="L12" s="46">
        <f>J12-K12</f>
        <v/>
      </c>
    </row>
    <row r="13" ht="15" customHeight="1" s="32">
      <c r="A13" s="44" t="inlineStr">
        <is>
          <t>E109</t>
        </is>
      </c>
      <c r="B13" s="39" t="inlineStr">
        <is>
          <t>Myra Joshi</t>
        </is>
      </c>
      <c r="C13" s="39" t="inlineStr">
        <is>
          <t>Marketing</t>
        </is>
      </c>
      <c r="D13" s="39" t="inlineStr">
        <is>
          <t>F</t>
        </is>
      </c>
      <c r="E13" s="39" t="inlineStr">
        <is>
          <t>Delhi</t>
        </is>
      </c>
      <c r="F13" s="45" t="n">
        <v>1610000</v>
      </c>
      <c r="G13" s="46">
        <f>MAX(F13-$O$22,0)</f>
        <v/>
      </c>
      <c r="H13" s="46">
        <f>VLOOKUP(G13,$N$6:$Q$11,2,TRUE)</f>
        <v/>
      </c>
      <c r="I13" s="46">
        <f>INDEX($P$6:$P$11,MATCH(G13,$N$6:$N$11,1))</f>
        <v/>
      </c>
      <c r="J13" s="46">
        <f>VLOOKUP(G13,$N$6:$Q$11,4,TRUE)+(G13-VLOOKUP(G13,$N$6:$Q$11,1,TRUE))*VLOOKUP(G13,$N$6:$Q$11,2,TRUE)</f>
        <v/>
      </c>
      <c r="K13" s="46">
        <f>IF(G13&lt;=$O$24,MIN(J13,$O$25),0)</f>
        <v/>
      </c>
      <c r="L13" s="46">
        <f>J13-K13</f>
        <v/>
      </c>
    </row>
    <row r="14" ht="15" customHeight="1" s="32">
      <c r="A14" s="44" t="inlineStr">
        <is>
          <t>E110</t>
        </is>
      </c>
      <c r="B14" s="39" t="inlineStr">
        <is>
          <t>Reyansh Das</t>
        </is>
      </c>
      <c r="C14" s="39" t="inlineStr">
        <is>
          <t>Engineering</t>
        </is>
      </c>
      <c r="D14" s="39" t="inlineStr">
        <is>
          <t>M</t>
        </is>
      </c>
      <c r="E14" s="39" t="inlineStr">
        <is>
          <t>Kolkata</t>
        </is>
      </c>
      <c r="F14" s="45" t="n">
        <v>360000</v>
      </c>
      <c r="G14" s="46">
        <f>MAX(F14-$O$22,0)</f>
        <v/>
      </c>
      <c r="H14" s="46">
        <f>VLOOKUP(G14,$N$6:$Q$11,2,TRUE)</f>
        <v/>
      </c>
      <c r="I14" s="46">
        <f>INDEX($P$6:$P$11,MATCH(G14,$N$6:$N$11,1))</f>
        <v/>
      </c>
      <c r="J14" s="46">
        <f>VLOOKUP(G14,$N$6:$Q$11,4,TRUE)+(G14-VLOOKUP(G14,$N$6:$Q$11,1,TRUE))*VLOOKUP(G14,$N$6:$Q$11,2,TRUE)</f>
        <v/>
      </c>
      <c r="K14" s="46">
        <f>IF(G14&lt;=$O$24,MIN(J14,$O$25),0)</f>
        <v/>
      </c>
      <c r="L14" s="46">
        <f>J14-K14</f>
        <v/>
      </c>
      <c r="N14" s="43" t="inlineStr">
        <is>
          <t>Surcharge Table (on tax)</t>
        </is>
      </c>
    </row>
    <row r="15" ht="15" customHeight="1" s="32">
      <c r="A15" s="44" t="inlineStr">
        <is>
          <t>E111</t>
        </is>
      </c>
      <c r="B15" s="39" t="inlineStr">
        <is>
          <t>Aditya Menon</t>
        </is>
      </c>
      <c r="C15" s="39" t="inlineStr">
        <is>
          <t>Finance</t>
        </is>
      </c>
      <c r="D15" s="39" t="inlineStr">
        <is>
          <t>M</t>
        </is>
      </c>
      <c r="E15" s="39" t="inlineStr">
        <is>
          <t>Chennai</t>
        </is>
      </c>
      <c r="F15" s="45" t="n">
        <v>11500000</v>
      </c>
      <c r="G15" s="46">
        <f>MAX(F15-$O$22,0)</f>
        <v/>
      </c>
      <c r="H15" s="46">
        <f>VLOOKUP(G15,$N$6:$Q$11,2,TRUE)</f>
        <v/>
      </c>
      <c r="I15" s="46">
        <f>INDEX($P$6:$P$11,MATCH(G15,$N$6:$N$11,1))</f>
        <v/>
      </c>
      <c r="J15" s="46">
        <f>VLOOKUP(G15,$N$6:$Q$11,4,TRUE)+(G15-VLOOKUP(G15,$N$6:$Q$11,1,TRUE))*VLOOKUP(G15,$N$6:$Q$11,2,TRUE)</f>
        <v/>
      </c>
      <c r="K15" s="46">
        <f>IF(G15&lt;=$O$24,MIN(J15,$O$25),0)</f>
        <v/>
      </c>
      <c r="L15" s="46">
        <f>J15-K15</f>
        <v/>
      </c>
      <c r="N15" s="36" t="inlineStr">
        <is>
          <t>Total Income From (₹)</t>
        </is>
      </c>
      <c r="O15" s="36" t="inlineStr">
        <is>
          <t>Surcharge</t>
        </is>
      </c>
    </row>
    <row r="16" ht="15" customHeight="1" s="32">
      <c r="A16" s="44" t="inlineStr">
        <is>
          <t>E112</t>
        </is>
      </c>
      <c r="B16" s="39" t="inlineStr">
        <is>
          <t>Kiara Shah</t>
        </is>
      </c>
      <c r="C16" s="39" t="inlineStr">
        <is>
          <t>Sales</t>
        </is>
      </c>
      <c r="D16" s="39" t="inlineStr">
        <is>
          <t>F</t>
        </is>
      </c>
      <c r="E16" s="39" t="inlineStr">
        <is>
          <t>Mumbai</t>
        </is>
      </c>
      <c r="F16" s="45" t="n">
        <v>2750000</v>
      </c>
      <c r="G16" s="46">
        <f>MAX(F16-$O$22,0)</f>
        <v/>
      </c>
      <c r="H16" s="46">
        <f>VLOOKUP(G16,$N$6:$Q$11,2,TRUE)</f>
        <v/>
      </c>
      <c r="I16" s="46">
        <f>INDEX($P$6:$P$11,MATCH(G16,$N$6:$N$11,1))</f>
        <v/>
      </c>
      <c r="J16" s="46">
        <f>VLOOKUP(G16,$N$6:$Q$11,4,TRUE)+(G16-VLOOKUP(G16,$N$6:$Q$11,1,TRUE))*VLOOKUP(G16,$N$6:$Q$11,2,TRUE)</f>
        <v/>
      </c>
      <c r="K16" s="46">
        <f>IF(G16&lt;=$O$24,MIN(J16,$O$25),0)</f>
        <v/>
      </c>
      <c r="L16" s="46">
        <f>J16-K16</f>
        <v/>
      </c>
      <c r="N16" s="47" t="n">
        <v>0</v>
      </c>
      <c r="O16" s="48" t="n">
        <v>0</v>
      </c>
    </row>
    <row r="17" ht="15" customHeight="1" s="32">
      <c r="N17" s="47" t="n">
        <v>5000000</v>
      </c>
      <c r="O17" s="48" t="n">
        <v>0.1</v>
      </c>
    </row>
    <row r="18" ht="15" customHeight="1" s="32">
      <c r="N18" s="47" t="n">
        <v>10000000</v>
      </c>
      <c r="O18" s="48" t="n">
        <v>0.15</v>
      </c>
    </row>
    <row r="19" ht="15" customHeight="1" s="32">
      <c r="N19" s="47" t="n">
        <v>20000000</v>
      </c>
      <c r="O19" s="48" t="n">
        <v>0.25</v>
      </c>
    </row>
    <row r="21" ht="15" customHeight="1" s="32">
      <c r="N21" s="43" t="inlineStr">
        <is>
          <t>Constants</t>
        </is>
      </c>
    </row>
    <row r="22" ht="15" customHeight="1" s="32">
      <c r="N22" s="49" t="inlineStr">
        <is>
          <t>Standard Deduction (₹)</t>
        </is>
      </c>
      <c r="O22" s="50" t="n">
        <v>75000</v>
      </c>
    </row>
    <row r="23" ht="15" customHeight="1" s="32">
      <c r="N23" s="49" t="inlineStr">
        <is>
          <t>Health &amp; Education Cess</t>
        </is>
      </c>
      <c r="O23" s="51" t="n">
        <v>0.04</v>
      </c>
    </row>
    <row r="24" ht="15" customHeight="1" s="32">
      <c r="N24" s="49" t="inlineStr">
        <is>
          <t>87A Rebate Income Limit (₹)</t>
        </is>
      </c>
      <c r="O24" s="50" t="n">
        <v>700000</v>
      </c>
    </row>
    <row r="25" ht="15" customHeight="1" s="32">
      <c r="N25" s="49" t="inlineStr">
        <is>
          <t>87A Max Rebate (₹)</t>
        </is>
      </c>
      <c r="O25" s="50" t="n">
        <v>25000</v>
      </c>
    </row>
    <row r="27" ht="15" customHeight="1" s="32">
      <c r="N27" s="43" t="inlineStr">
        <is>
          <t>Department Directory (horizontal — for HLOOKUP)</t>
        </is>
      </c>
    </row>
    <row r="28" ht="15" customHeight="1" s="32">
      <c r="N28" s="36" t="inlineStr">
        <is>
          <t>Department</t>
        </is>
      </c>
      <c r="O28" s="52" t="inlineStr">
        <is>
          <t>Engineering</t>
        </is>
      </c>
      <c r="P28" s="52" t="inlineStr">
        <is>
          <t>Sales</t>
        </is>
      </c>
      <c r="Q28" s="52" t="inlineStr">
        <is>
          <t>Marketing</t>
        </is>
      </c>
      <c r="R28" s="52" t="inlineStr">
        <is>
          <t>Finance</t>
        </is>
      </c>
      <c r="S28" s="52" t="inlineStr">
        <is>
          <t>HR</t>
        </is>
      </c>
    </row>
    <row r="29" ht="15" customHeight="1" s="32">
      <c r="N29" s="53" t="inlineStr">
        <is>
          <t>HR Email</t>
        </is>
      </c>
      <c r="O29" s="39" t="inlineStr">
        <is>
          <t>hr.eng@co.in</t>
        </is>
      </c>
      <c r="P29" s="39" t="inlineStr">
        <is>
          <t>hr.sales@co.in</t>
        </is>
      </c>
      <c r="Q29" s="39" t="inlineStr">
        <is>
          <t>hr.mktg@co.in</t>
        </is>
      </c>
      <c r="R29" s="39" t="inlineStr">
        <is>
          <t>hr.fin@co.in</t>
        </is>
      </c>
      <c r="S29" s="39" t="inlineStr">
        <is>
          <t>hr.hr@co.in</t>
        </is>
      </c>
    </row>
    <row r="30" ht="15" customHeight="1" s="32">
      <c r="N30" s="53" t="inlineStr">
        <is>
          <t>HR Head</t>
        </is>
      </c>
      <c r="O30" s="39" t="inlineStr">
        <is>
          <t>R. Banerjee</t>
        </is>
      </c>
      <c r="P30" s="39" t="inlineStr">
        <is>
          <t>S. Krishnan</t>
        </is>
      </c>
      <c r="Q30" s="39" t="inlineStr">
        <is>
          <t>P. Desai</t>
        </is>
      </c>
      <c r="R30" s="39" t="inlineStr">
        <is>
          <t>M. Joshi</t>
        </is>
      </c>
      <c r="S30" s="39" t="inlineStr">
        <is>
          <t>N. Verma</t>
        </is>
      </c>
    </row>
    <row r="32" ht="15" customHeight="1" s="32">
      <c r="N32" s="43" t="inlineStr">
        <is>
          <t>City Classification</t>
        </is>
      </c>
    </row>
    <row r="33" ht="15" customHeight="1" s="32">
      <c r="N33" s="36" t="inlineStr">
        <is>
          <t>City</t>
        </is>
      </c>
      <c r="O33" s="36" t="inlineStr">
        <is>
          <t>Class</t>
        </is>
      </c>
    </row>
    <row r="34" ht="15" customHeight="1" s="32">
      <c r="N34" s="54" t="inlineStr">
        <is>
          <t>Mumbai</t>
        </is>
      </c>
      <c r="O34" s="39" t="inlineStr">
        <is>
          <t>Metro</t>
        </is>
      </c>
    </row>
    <row r="35" ht="15" customHeight="1" s="32">
      <c r="N35" s="54" t="inlineStr">
        <is>
          <t>Delhi</t>
        </is>
      </c>
      <c r="O35" s="39" t="inlineStr">
        <is>
          <t>Metro</t>
        </is>
      </c>
    </row>
    <row r="36" ht="15" customHeight="1" s="32">
      <c r="N36" s="54" t="inlineStr">
        <is>
          <t>Bangalore</t>
        </is>
      </c>
      <c r="O36" s="39" t="inlineStr">
        <is>
          <t>Metro</t>
        </is>
      </c>
    </row>
    <row r="37" ht="15" customHeight="1" s="32">
      <c r="N37" s="54" t="inlineStr">
        <is>
          <t>Chennai</t>
        </is>
      </c>
      <c r="O37" s="39" t="inlineStr">
        <is>
          <t>Metro</t>
        </is>
      </c>
    </row>
    <row r="38" ht="15" customHeight="1" s="32">
      <c r="N38" s="54" t="inlineStr">
        <is>
          <t>Hyderabad</t>
        </is>
      </c>
      <c r="O38" s="39" t="inlineStr">
        <is>
          <t>Non-Metro</t>
        </is>
      </c>
    </row>
    <row r="39" ht="15" customHeight="1" s="32">
      <c r="N39" s="54" t="inlineStr">
        <is>
          <t>Pune</t>
        </is>
      </c>
      <c r="O39" s="39" t="inlineStr">
        <is>
          <t>Non-Metro</t>
        </is>
      </c>
    </row>
    <row r="40" ht="15" customHeight="1" s="32">
      <c r="N40" s="54" t="inlineStr">
        <is>
          <t>Kolkata</t>
        </is>
      </c>
      <c r="O40" s="39" t="inlineStr">
        <is>
          <t>Metro</t>
        </is>
      </c>
    </row>
  </sheetData>
  <mergeCells count="1">
    <mergeCell ref="A2:L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O3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" customWidth="1" style="31" min="1" max="1"/>
    <col width="62" customWidth="1" style="31" min="2" max="2"/>
    <col width="30" customWidth="1" style="31" min="3" max="3"/>
    <col width="22" customWidth="1" style="31" min="4" max="4"/>
    <col width="7" customWidth="1" style="31" min="5" max="5"/>
  </cols>
  <sheetData>
    <row r="1" ht="17.35" customHeight="1" s="32">
      <c r="A1" s="33" t="inlineStr">
        <is>
          <t>Questions</t>
        </is>
      </c>
    </row>
    <row r="2" ht="30" customHeight="1" s="32">
      <c r="A2" s="34" t="inlineStr">
        <is>
          <t>Answer in the PEACH cells using lookup functions (XLOOKUP / VLOOKUP / HLOOKUP / INDEX / MATCH) and the tables on 'Tax Worksheet'. Type the EmpID or value into the blue input where one is given.</t>
        </is>
      </c>
    </row>
    <row r="4" ht="15" customHeight="1" s="32">
      <c r="A4" s="43" t="inlineStr">
        <is>
          <t>Inputs you may change:</t>
        </is>
      </c>
    </row>
    <row r="5" ht="15" customHeight="1" s="32">
      <c r="A5" s="49" t="inlineStr">
        <is>
          <t>EmpID #1</t>
        </is>
      </c>
      <c r="B5" s="55" t="inlineStr">
        <is>
          <t>E105</t>
        </is>
      </c>
    </row>
    <row r="6" ht="15" customHeight="1" s="32">
      <c r="A6" s="49" t="inlineStr">
        <is>
          <t>EmpID #2</t>
        </is>
      </c>
      <c r="B6" s="55" t="inlineStr">
        <is>
          <t>E111</t>
        </is>
      </c>
    </row>
    <row r="7" ht="15" customHeight="1" s="32">
      <c r="A7" s="49" t="inlineStr">
        <is>
          <t>Department</t>
        </is>
      </c>
      <c r="B7" s="55" t="inlineStr">
        <is>
          <t>Finance</t>
        </is>
      </c>
    </row>
    <row r="8" ht="15" customHeight="1" s="32">
      <c r="A8" s="49" t="inlineStr">
        <is>
          <t>City</t>
        </is>
      </c>
      <c r="B8" s="55" t="inlineStr">
        <is>
          <t>Pune</t>
        </is>
      </c>
    </row>
    <row r="9" ht="15" customHeight="1" s="32">
      <c r="A9" s="49" t="inlineStr">
        <is>
          <t>Income to test (₹)</t>
        </is>
      </c>
      <c r="B9" s="50" t="n">
        <v>1350000</v>
      </c>
    </row>
    <row r="10" ht="15" customHeight="1" s="32">
      <c r="A10" s="49" t="inlineStr">
        <is>
          <t>Field name (for Q13)</t>
        </is>
      </c>
      <c r="B10" s="55" t="inlineStr">
        <is>
          <t>City</t>
        </is>
      </c>
    </row>
    <row r="11" ht="15" customHeight="1" s="32">
      <c r="A11" s="49" t="inlineStr">
        <is>
          <t>Name (for Q17)</t>
        </is>
      </c>
      <c r="B11" s="55" t="inlineStr">
        <is>
          <t>Kiara Shah</t>
        </is>
      </c>
    </row>
    <row r="13" ht="15" customHeight="1" s="32">
      <c r="A13" s="36" t="inlineStr">
        <is>
          <t>#</t>
        </is>
      </c>
      <c r="B13" s="36" t="inlineStr">
        <is>
          <t>Question / Task</t>
        </is>
      </c>
      <c r="C13" s="36" t="inlineStr">
        <is>
          <t>Function(s) to use</t>
        </is>
      </c>
      <c r="D13" s="36" t="inlineStr">
        <is>
          <t>Your Answer</t>
        </is>
      </c>
      <c r="E13" s="36" t="inlineStr">
        <is>
          <t>Marks</t>
        </is>
      </c>
    </row>
    <row r="14" ht="30" customHeight="1" s="32">
      <c r="A14" s="56" t="n">
        <v>1</v>
      </c>
      <c r="B14" s="57" t="inlineStr">
        <is>
          <t>Look up the Name of EmpID #1 (B5).</t>
        </is>
      </c>
      <c r="C14" s="58" t="inlineStr">
        <is>
          <t>XLOOKUP</t>
        </is>
      </c>
      <c r="D14" s="59">
        <f>XLOOKUP($B$5,'Tax Worksheet'!$A$5:$A$16,'Tax Worksheet'!$B$5:$B$16)</f>
        <v/>
      </c>
      <c r="E14" s="60" t="n">
        <v>2</v>
      </c>
    </row>
    <row r="15" ht="30" customHeight="1" s="32">
      <c r="A15" s="56" t="n">
        <v>2</v>
      </c>
      <c r="B15" s="57" t="inlineStr">
        <is>
          <t>Look up the Department of EmpID #1 using VLOOKUP (column index).</t>
        </is>
      </c>
      <c r="C15" s="58" t="inlineStr">
        <is>
          <t>VLOOKUP</t>
        </is>
      </c>
      <c r="D15" s="59">
        <f>VLOOKUP($B$5,'Tax Worksheet'!$A$5:$L$16,3,FALSE)</f>
        <v/>
      </c>
      <c r="E15" s="60" t="n">
        <v>2</v>
      </c>
    </row>
    <row r="16" ht="30" customHeight="1" s="32">
      <c r="A16" s="56" t="n">
        <v>3</v>
      </c>
      <c r="B16" s="57" t="inlineStr">
        <is>
          <t>Look up the Gross Salary of EmpID #2 (B6) using INDEX + MATCH.</t>
        </is>
      </c>
      <c r="C16" s="58" t="inlineStr">
        <is>
          <t>INDEX, MATCH</t>
        </is>
      </c>
      <c r="D16" s="61">
        <f>INDEX('Tax Worksheet'!$F$5:$F$16,MATCH($B$6,'Tax Worksheet'!$A$5:$A$16,0))</f>
        <v/>
      </c>
      <c r="E16" s="60" t="n">
        <v>3</v>
      </c>
    </row>
    <row r="17" ht="30" customHeight="1" s="32">
      <c r="A17" s="56" t="n">
        <v>4</v>
      </c>
      <c r="B17" s="57" t="inlineStr">
        <is>
          <t>Get the HR Email for the Department in B7 (horizontal directory).</t>
        </is>
      </c>
      <c r="C17" s="58" t="inlineStr">
        <is>
          <t>HLOOKUP</t>
        </is>
      </c>
      <c r="D17" s="59">
        <f>HLOOKUP($B$7,'Tax Worksheet'!$N$28:$S$30,2,FALSE)</f>
        <v/>
      </c>
      <c r="E17" s="60" t="n">
        <v>3</v>
      </c>
    </row>
    <row r="18" ht="30" customHeight="1" s="32">
      <c r="A18" s="56" t="n">
        <v>5</v>
      </c>
      <c r="B18" s="57" t="inlineStr">
        <is>
          <t>Get the HR Head for the Department in B7 (3rd row of directory).</t>
        </is>
      </c>
      <c r="C18" s="58" t="inlineStr">
        <is>
          <t>HLOOKUP</t>
        </is>
      </c>
      <c r="D18" s="59">
        <f>HLOOKUP($B$7,'Tax Worksheet'!$N$28:$S$30,3,FALSE)</f>
        <v/>
      </c>
      <c r="E18" s="60" t="n">
        <v>2</v>
      </c>
    </row>
    <row r="19" ht="30" customHeight="1" s="32">
      <c r="A19" s="56" t="n">
        <v>6</v>
      </c>
      <c r="B19" s="57" t="inlineStr">
        <is>
          <t>Classify the City in B8 as Metro / Non-Metro.</t>
        </is>
      </c>
      <c r="C19" s="58" t="inlineStr">
        <is>
          <t>VLOOKUP</t>
        </is>
      </c>
      <c r="D19" s="59">
        <f>VLOOKUP($B$8,'Tax Worksheet'!$N$33:$O$40,2,FALSE)</f>
        <v/>
      </c>
      <c r="E19" s="60" t="n">
        <v>2</v>
      </c>
    </row>
    <row r="20" ht="30" customHeight="1" s="32">
      <c r="A20" s="56" t="n">
        <v>7</v>
      </c>
      <c r="B20" s="57" t="inlineStr">
        <is>
          <t>For the income in B9, find the marginal Slab Rate (approximate match).</t>
        </is>
      </c>
      <c r="C20" s="58" t="inlineStr">
        <is>
          <t>VLOOKUP (TRUE)</t>
        </is>
      </c>
      <c r="D20" s="62">
        <f>VLOOKUP($B$9,'Tax Worksheet'!$N$6:$Q$11,2,TRUE)</f>
        <v/>
      </c>
      <c r="E20" s="60" t="n">
        <v>3</v>
      </c>
    </row>
    <row r="21" ht="30" customHeight="1" s="32">
      <c r="A21" s="56" t="n">
        <v>8</v>
      </c>
      <c r="B21" s="57" t="inlineStr">
        <is>
          <t>For the income in B9, return the Slab Label using INDEX + MATCH (match type 1).</t>
        </is>
      </c>
      <c r="C21" s="58" t="inlineStr">
        <is>
          <t>INDEX, MATCH</t>
        </is>
      </c>
      <c r="D21" s="59">
        <f>INDEX('Tax Worksheet'!$P$6:$P$11,MATCH($B$9,'Tax Worksheet'!$N$6:$N$11,1))</f>
        <v/>
      </c>
      <c r="E21" s="60" t="n">
        <v>3</v>
      </c>
    </row>
    <row r="22" ht="30" customHeight="1" s="32">
      <c r="A22" s="56" t="n">
        <v>9</v>
      </c>
      <c r="B22" s="57" t="inlineStr">
        <is>
          <t>For the income in B9, compute progressive Income Tax (tax-at-band-start + excess × rate).</t>
        </is>
      </c>
      <c r="C22" s="58" t="inlineStr">
        <is>
          <t>VLOOKUP (TRUE) ×3</t>
        </is>
      </c>
      <c r="D22" s="61">
        <f>VLOOKUP($B$9,'Tax Worksheet'!$N$6:$Q$11,4,TRUE)+($B$9-VLOOKUP($B$9,'Tax Worksheet'!$N$6:$Q$11,1,TRUE))*VLOOKUP($B$9,'Tax Worksheet'!$N$6:$Q$11,2,TRUE)</f>
        <v/>
      </c>
      <c r="E22" s="60" t="n">
        <v>4</v>
      </c>
    </row>
    <row r="23" ht="30" customHeight="1" s="32">
      <c r="A23" s="56" t="n">
        <v>10</v>
      </c>
      <c r="B23" s="57" t="inlineStr">
        <is>
          <t>Look up the pre-rebate Income Tax of EmpID #1 from the worksheet.</t>
        </is>
      </c>
      <c r="C23" s="58" t="inlineStr">
        <is>
          <t>XLOOKUP</t>
        </is>
      </c>
      <c r="D23" s="61">
        <f>XLOOKUP($B$5,'Tax Worksheet'!$A$5:$A$16,'Tax Worksheet'!$J$5:$J$16)</f>
        <v/>
      </c>
      <c r="E23" s="60" t="n">
        <v>2</v>
      </c>
    </row>
    <row r="24" ht="30" customHeight="1" s="32">
      <c r="A24" s="56" t="n">
        <v>11</v>
      </c>
      <c r="B24" s="57" t="inlineStr">
        <is>
          <t>Compute Cess (4%) on EmpID #1's Tax-After-Rebate. Use XLOOKUP for the tax, ref the cess constant.</t>
        </is>
      </c>
      <c r="C24" s="58" t="inlineStr">
        <is>
          <t>XLOOKUP + ref</t>
        </is>
      </c>
      <c r="D24" s="61">
        <f>XLOOKUP($B$5,'Tax Worksheet'!$A$5:$A$16,'Tax Worksheet'!$L$5:$L$16)*'Tax Worksheet'!$O$23</f>
        <v/>
      </c>
      <c r="E24" s="60" t="n">
        <v>3</v>
      </c>
    </row>
    <row r="25" ht="30" customHeight="1" s="32">
      <c r="A25" s="56" t="n">
        <v>12</v>
      </c>
      <c r="B25" s="57" t="inlineStr">
        <is>
          <t>Find the Surcharge RATE that applies to EmpID #2's GROSS income (approximate match).</t>
        </is>
      </c>
      <c r="C25" s="58" t="inlineStr">
        <is>
          <t>XLOOKUP + VLOOKUP</t>
        </is>
      </c>
      <c r="D25" s="62">
        <f>VLOOKUP(XLOOKUP($B$6,'Tax Worksheet'!$A$5:$A$16,'Tax Worksheet'!$F$5:$F$16),'Tax Worksheet'!$N$16:$O$19,2,TRUE)</f>
        <v/>
      </c>
      <c r="E25" s="60" t="n">
        <v>4</v>
      </c>
    </row>
    <row r="26" ht="30" customHeight="1" s="32">
      <c r="A26" s="56" t="n">
        <v>13</v>
      </c>
      <c r="B26" s="57" t="inlineStr">
        <is>
          <t>Two-way lookup: return the field named in B10 for EmpID #1 (e.g. B10 = "City").</t>
        </is>
      </c>
      <c r="C26" s="58" t="inlineStr">
        <is>
          <t>INDEX + MATCH×2</t>
        </is>
      </c>
      <c r="D26" s="59">
        <f>INDEX('Tax Worksheet'!$A$5:$L$16,MATCH($B$5,'Tax Worksheet'!$A$5:$A$16,0),MATCH($B$10,'Tax Worksheet'!$A$4:$L$4,0))</f>
        <v/>
      </c>
      <c r="E26" s="60" t="n">
        <v>4</v>
      </c>
    </row>
    <row r="27" ht="30" customHeight="1" s="32">
      <c r="A27" s="56" t="n">
        <v>14</v>
      </c>
      <c r="B27" s="57" t="inlineStr">
        <is>
          <t>Highest Gross salary in the company, then who earns it (name).</t>
        </is>
      </c>
      <c r="C27" s="58" t="inlineStr">
        <is>
          <t>MAX + INDEX/MATCH</t>
        </is>
      </c>
      <c r="D27" s="59">
        <f>INDEX('Tax Worksheet'!$B$5:$B$16,MATCH(MAX('Tax Worksheet'!$F$5:$F$16),'Tax Worksheet'!$F$5:$F$16,0))</f>
        <v/>
      </c>
      <c r="E27" s="60" t="n">
        <v>3</v>
      </c>
    </row>
    <row r="28" ht="30" customHeight="1" s="32">
      <c r="A28" s="56" t="n">
        <v>15</v>
      </c>
      <c r="B28" s="57" t="inlineStr">
        <is>
          <t>Count how many employees are in the Department in B7.</t>
        </is>
      </c>
      <c r="C28" s="58" t="inlineStr">
        <is>
          <t>COUNTIF</t>
        </is>
      </c>
      <c r="D28" s="59">
        <f>COUNTIF('Tax Worksheet'!$C$5:$C$16,$B$7)</f>
        <v/>
      </c>
      <c r="E28" s="60" t="n">
        <v>2</v>
      </c>
    </row>
    <row r="29" ht="30" customHeight="1" s="32">
      <c r="A29" s="56" t="n">
        <v>16</v>
      </c>
      <c r="B29" s="57" t="inlineStr">
        <is>
          <t>Total Income Tax (pre-rebate) collected from the Finance department only.</t>
        </is>
      </c>
      <c r="C29" s="58" t="inlineStr">
        <is>
          <t>SUMIF</t>
        </is>
      </c>
      <c r="D29" s="61">
        <f>SUMIF('Tax Worksheet'!$C$5:$C$16,"Finance",'Tax Worksheet'!$J$5:$J$16)</f>
        <v/>
      </c>
      <c r="E29" s="60" t="n">
        <v>3</v>
      </c>
    </row>
    <row r="30" ht="30" customHeight="1" s="32">
      <c r="A30" s="56" t="n">
        <v>17</v>
      </c>
      <c r="B30" s="57" t="inlineStr">
        <is>
          <t>Reverse lookup: find the EmpID of the employee whose Name is in B11 (e.g. "Kiara Shah").</t>
        </is>
      </c>
      <c r="C30" s="58" t="inlineStr">
        <is>
          <t>INDEX + MATCH</t>
        </is>
      </c>
      <c r="D30" s="59">
        <f>INDEX('Tax Worksheet'!$A$5:$A$16,MATCH($B$11,'Tax Worksheet'!$B$5:$B$16,0))</f>
        <v/>
      </c>
      <c r="E30" s="60" t="n">
        <v>3</v>
      </c>
    </row>
    <row r="31" ht="30" customHeight="1" s="32">
      <c r="A31" s="56" t="n">
        <v>18</v>
      </c>
      <c r="B31" s="57" t="inlineStr">
        <is>
          <t>Approximate-grade lookup: give EmpID #2 a letter grade from the income-grade scale you build in N (or use slab label as proxy).</t>
        </is>
      </c>
      <c r="C31" s="58" t="inlineStr">
        <is>
          <t>XLOOKUP / VLOOKUP</t>
        </is>
      </c>
      <c r="D31" s="59">
        <f>XLOOKUP(XLOOKUP($B$6,'Tax Worksheet'!$A$5:$A$16,'Tax Worksheet'!$G$5:$G$16),$N$36:$N$39,$O$36:$O$39,,-1)</f>
        <v/>
      </c>
      <c r="E31" s="60" t="n">
        <v>2</v>
      </c>
    </row>
    <row r="32" ht="15" customHeight="1" s="32">
      <c r="A32" s="39" t="n"/>
      <c r="B32" s="38" t="inlineStr">
        <is>
          <t>TOTAL</t>
        </is>
      </c>
      <c r="C32" s="39" t="n"/>
      <c r="D32" s="39" t="n"/>
      <c r="E32" s="56" t="n">
        <v>50</v>
      </c>
    </row>
    <row r="35">
      <c r="N35" t="inlineStr">
        <is>
          <t>Income From (₹)</t>
        </is>
      </c>
      <c r="O35" t="inlineStr">
        <is>
          <t>Grade</t>
        </is>
      </c>
    </row>
    <row r="36">
      <c r="N36" t="n">
        <v>0</v>
      </c>
      <c r="O36" t="inlineStr">
        <is>
          <t>D</t>
        </is>
      </c>
    </row>
    <row r="37">
      <c r="N37" t="n">
        <v>500000</v>
      </c>
      <c r="O37" t="inlineStr">
        <is>
          <t>C</t>
        </is>
      </c>
    </row>
    <row r="38">
      <c r="N38" t="n">
        <v>1000000</v>
      </c>
      <c r="O38" t="inlineStr">
        <is>
          <t>B</t>
        </is>
      </c>
    </row>
    <row r="39">
      <c r="N39" t="n">
        <v>1500000</v>
      </c>
      <c r="O39" t="inlineStr">
        <is>
          <t>A</t>
        </is>
      </c>
    </row>
  </sheetData>
  <mergeCells count="1">
    <mergeCell ref="A2:H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2026-06-07T15:15:45Z</dcterms:created>
  <dcterms:modified xsi:type="dcterms:W3CDTF">2026-06-27T12:14:18Z</dcterms:modified>
  <cp:revision>0</cp:revision>
</cp:coreProperties>
</file>